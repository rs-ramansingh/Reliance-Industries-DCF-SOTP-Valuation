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raman/Desktop/Reliance_Industries_Valuation_Model/"/>
    </mc:Choice>
  </mc:AlternateContent>
  <xr:revisionPtr revIDLastSave="0" documentId="13_ncr:1_{489C27A3-FA9F-2B42-BD2E-8F2C6B97842F}" xr6:coauthVersionLast="47" xr6:coauthVersionMax="47" xr10:uidLastSave="{00000000-0000-0000-0000-000000000000}"/>
  <bookViews>
    <workbookView xWindow="1340" yWindow="2500" windowWidth="26980" windowHeight="15060" tabRatio="897" firstSheet="13" activeTab="18" xr2:uid="{00000000-000D-0000-FFFF-FFFF00000000}"/>
  </bookViews>
  <sheets>
    <sheet name="Cover" sheetId="183" r:id="rId1"/>
    <sheet name="01_Overview" sheetId="189" r:id="rId2"/>
    <sheet name="02_Consolidated_Historical_Data" sheetId="184" r:id="rId3"/>
    <sheet name="03_Consolidated_Balance_Sheet_" sheetId="186" r:id="rId4"/>
    <sheet name="04_Consolidated_Cash_Flow" sheetId="187" r:id="rId5"/>
    <sheet name="05_Segment_Historical_Raw_Data" sheetId="185" r:id="rId6"/>
    <sheet name="06_Calculated_Ratios" sheetId="188" r:id="rId7"/>
    <sheet name="07_Forecast_assumptions" sheetId="190" r:id="rId8"/>
    <sheet name="08_Three_Statement_Projections" sheetId="191" r:id="rId9"/>
    <sheet name="08A_Balance_Sheet_Support_Sched" sheetId="193" r:id="rId10"/>
    <sheet name="09_Free_Cash_Flow_Schedule FCFF" sheetId="194" r:id="rId11"/>
    <sheet name="10_DCF_Valuation" sheetId="195" r:id="rId12"/>
    <sheet name="11_SOTP_valuation" sheetId="196" r:id="rId13"/>
    <sheet name="12_Scenario_Analysis_Dashboard" sheetId="198" r:id="rId14"/>
    <sheet name="13_Executive_Summary" sheetId="197" r:id="rId15"/>
    <sheet name="14_Key_Metrics_Dashboard" sheetId="199" r:id="rId16"/>
    <sheet name="15_DCF_Sensitivity_Analysis" sheetId="200" r:id="rId17"/>
    <sheet name="16_Relative_Valuation" sheetId="201" r:id="rId18"/>
    <sheet name="17_Final_Valuation_Dashboard" sheetId="202" r:id="rId19"/>
  </sheets>
  <definedNames>
    <definedName name="_xlchart.v1.0" hidden="1">'11_SOTP_valuation'!$A$16:$A$20</definedName>
    <definedName name="_xlchart.v1.1" hidden="1">'11_SOTP_valuation'!$B$16:$B$20</definedName>
    <definedName name="_xlchart.v1.2" hidden="1">'17_Final_Valuation_Dashboard'!$B$14:$B$17</definedName>
    <definedName name="_xlchart.v1.3" hidden="1">'17_Final_Valuation_Dashboard'!$C$13</definedName>
    <definedName name="_xlchart.v1.4" hidden="1">'17_Final_Valuation_Dashboard'!$C$14:$C$17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02" l="1"/>
  <c r="C7" i="202"/>
  <c r="C6" i="202"/>
  <c r="C9" i="202" s="1"/>
  <c r="C5" i="202"/>
  <c r="D13" i="198"/>
  <c r="C13" i="198"/>
  <c r="C14" i="198" s="1"/>
  <c r="B13" i="198"/>
  <c r="B96" i="201" l="1"/>
  <c r="B219" i="201"/>
  <c r="B217" i="201"/>
  <c r="B215" i="201"/>
  <c r="D210" i="201"/>
  <c r="B216" i="201" s="1"/>
  <c r="D206" i="201"/>
  <c r="D207" i="201"/>
  <c r="D208" i="201"/>
  <c r="D209" i="201"/>
  <c r="C210" i="201"/>
  <c r="C184" i="201"/>
  <c r="C183" i="201"/>
  <c r="B185" i="201"/>
  <c r="B165" i="201"/>
  <c r="A156" i="201"/>
  <c r="A157" i="201"/>
  <c r="A155" i="201"/>
  <c r="B159" i="201"/>
  <c r="B175" i="201" s="1"/>
  <c r="B192" i="201" s="1"/>
  <c r="A138" i="201"/>
  <c r="B138" i="201"/>
  <c r="C97" i="201"/>
  <c r="D97" i="201" s="1"/>
  <c r="D51" i="201"/>
  <c r="C89" i="201"/>
  <c r="C82" i="201"/>
  <c r="C81" i="201"/>
  <c r="B69" i="201"/>
  <c r="C182" i="201" s="1"/>
  <c r="C59" i="201"/>
  <c r="F97" i="201"/>
  <c r="C75" i="201" s="1"/>
  <c r="G101" i="201"/>
  <c r="K101" i="201" s="1"/>
  <c r="G100" i="201"/>
  <c r="K100" i="201" s="1"/>
  <c r="G99" i="201"/>
  <c r="K99" i="201" s="1"/>
  <c r="G98" i="201"/>
  <c r="K98" i="201" s="1"/>
  <c r="G97" i="201"/>
  <c r="K97" i="201" s="1"/>
  <c r="H99" i="201"/>
  <c r="L99" i="201" s="1"/>
  <c r="H97" i="201"/>
  <c r="L97" i="201" s="1"/>
  <c r="H96" i="201"/>
  <c r="L96" i="201" s="1"/>
  <c r="C123" i="201" s="1"/>
  <c r="H101" i="201"/>
  <c r="L101" i="201" s="1"/>
  <c r="H100" i="201"/>
  <c r="L100" i="201" s="1"/>
  <c r="H98" i="201"/>
  <c r="L98" i="201" s="1"/>
  <c r="C101" i="201"/>
  <c r="D101" i="201" s="1"/>
  <c r="J101" i="201" s="1"/>
  <c r="C100" i="201"/>
  <c r="D100" i="201" s="1"/>
  <c r="J100" i="201" s="1"/>
  <c r="D53" i="201" s="1"/>
  <c r="C99" i="201"/>
  <c r="D99" i="201" s="1"/>
  <c r="C98" i="201"/>
  <c r="D98" i="201" s="1"/>
  <c r="J98" i="201" s="1"/>
  <c r="B66" i="201" s="1"/>
  <c r="C96" i="201"/>
  <c r="D16" i="190"/>
  <c r="E16" i="190"/>
  <c r="F16" i="190"/>
  <c r="G16" i="190"/>
  <c r="C16" i="190"/>
  <c r="D18" i="190"/>
  <c r="E18" i="190"/>
  <c r="F18" i="190"/>
  <c r="G18" i="190"/>
  <c r="C18" i="190"/>
  <c r="G15" i="190"/>
  <c r="F15" i="190"/>
  <c r="E15" i="190"/>
  <c r="D15" i="190"/>
  <c r="C15" i="190"/>
  <c r="C9" i="187"/>
  <c r="D9" i="187"/>
  <c r="E9" i="187"/>
  <c r="F9" i="187"/>
  <c r="B10" i="187"/>
  <c r="B9" i="187" s="1"/>
  <c r="B15" i="187"/>
  <c r="C15" i="187"/>
  <c r="C17" i="187" s="1"/>
  <c r="C20" i="187" s="1"/>
  <c r="D15" i="187"/>
  <c r="E15" i="187"/>
  <c r="F15" i="187"/>
  <c r="D17" i="187"/>
  <c r="D20" i="187" s="1"/>
  <c r="E17" i="187"/>
  <c r="E20" i="187" s="1"/>
  <c r="F17" i="187"/>
  <c r="F20" i="187" s="1"/>
  <c r="G97" i="190"/>
  <c r="F97" i="190"/>
  <c r="E97" i="190"/>
  <c r="D97" i="190"/>
  <c r="C97" i="190"/>
  <c r="G95" i="190"/>
  <c r="F95" i="190"/>
  <c r="E95" i="190"/>
  <c r="D95" i="190"/>
  <c r="C95" i="190"/>
  <c r="G94" i="190"/>
  <c r="F94" i="190"/>
  <c r="E94" i="190"/>
  <c r="D94" i="190"/>
  <c r="C94" i="190"/>
  <c r="C9" i="196" s="1"/>
  <c r="D32" i="190"/>
  <c r="E32" i="190"/>
  <c r="F32" i="190"/>
  <c r="G32" i="190"/>
  <c r="D30" i="190"/>
  <c r="E30" i="190"/>
  <c r="F30" i="190"/>
  <c r="G30" i="190"/>
  <c r="C32" i="190"/>
  <c r="C30" i="190"/>
  <c r="G29" i="190"/>
  <c r="F29" i="190"/>
  <c r="E29" i="190"/>
  <c r="D29" i="190"/>
  <c r="C29" i="190"/>
  <c r="C6" i="196" s="1"/>
  <c r="G75" i="190"/>
  <c r="F75" i="190"/>
  <c r="E75" i="190"/>
  <c r="D75" i="190"/>
  <c r="C75" i="190"/>
  <c r="C8" i="196" s="1"/>
  <c r="D78" i="190"/>
  <c r="E78" i="190"/>
  <c r="F78" i="190"/>
  <c r="G78" i="190"/>
  <c r="D76" i="190"/>
  <c r="E76" i="190"/>
  <c r="F76" i="190"/>
  <c r="G76" i="190"/>
  <c r="C78" i="190"/>
  <c r="C76" i="190"/>
  <c r="G49" i="190"/>
  <c r="F49" i="190"/>
  <c r="D52" i="190"/>
  <c r="E52" i="190"/>
  <c r="F52" i="190"/>
  <c r="G52" i="190"/>
  <c r="C52" i="190"/>
  <c r="C49" i="190" s="1"/>
  <c r="C7" i="196" s="1"/>
  <c r="D50" i="190"/>
  <c r="D49" i="190" s="1"/>
  <c r="E50" i="190"/>
  <c r="E49" i="190" s="1"/>
  <c r="F50" i="190"/>
  <c r="G50" i="190"/>
  <c r="C50" i="190"/>
  <c r="D12" i="198"/>
  <c r="D14" i="198" s="1"/>
  <c r="B12" i="198"/>
  <c r="B14" i="198" s="1"/>
  <c r="B15" i="198" s="1"/>
  <c r="C12" i="198"/>
  <c r="C38" i="183"/>
  <c r="C6" i="200"/>
  <c r="C7" i="200" s="1"/>
  <c r="C8" i="200" s="1"/>
  <c r="C9" i="200" s="1"/>
  <c r="E4" i="200"/>
  <c r="F4" i="200" s="1"/>
  <c r="G4" i="200" s="1"/>
  <c r="H4" i="200" s="1"/>
  <c r="B49" i="199"/>
  <c r="B18" i="199"/>
  <c r="B17" i="199"/>
  <c r="B9" i="199"/>
  <c r="B7" i="199"/>
  <c r="B6" i="199"/>
  <c r="D103" i="190"/>
  <c r="E103" i="190"/>
  <c r="F103" i="190"/>
  <c r="G103" i="190"/>
  <c r="C103" i="190"/>
  <c r="D101" i="190"/>
  <c r="E101" i="190"/>
  <c r="F101" i="190"/>
  <c r="G101" i="190"/>
  <c r="C101" i="190"/>
  <c r="D13" i="190"/>
  <c r="D12" i="190" s="1"/>
  <c r="E13" i="190"/>
  <c r="E12" i="190" s="1"/>
  <c r="F13" i="190"/>
  <c r="F12" i="190" s="1"/>
  <c r="G13" i="190"/>
  <c r="G12" i="190" s="1"/>
  <c r="C13" i="190"/>
  <c r="C12" i="190" s="1"/>
  <c r="D10" i="190"/>
  <c r="E10" i="190"/>
  <c r="F10" i="190"/>
  <c r="G10" i="190"/>
  <c r="C10" i="190"/>
  <c r="D8" i="190"/>
  <c r="E8" i="190"/>
  <c r="F8" i="190"/>
  <c r="G8" i="190"/>
  <c r="C8" i="190"/>
  <c r="E2" i="190"/>
  <c r="C37" i="195"/>
  <c r="B11" i="194"/>
  <c r="C11" i="194"/>
  <c r="D11" i="194"/>
  <c r="E11" i="194"/>
  <c r="F11" i="194"/>
  <c r="C7" i="194"/>
  <c r="D7" i="194"/>
  <c r="E7" i="194"/>
  <c r="F7" i="194"/>
  <c r="B7" i="194"/>
  <c r="B48" i="191"/>
  <c r="C48" i="191" s="1"/>
  <c r="D48" i="191" s="1"/>
  <c r="E48" i="191" s="1"/>
  <c r="F48" i="191" s="1"/>
  <c r="G48" i="191" s="1"/>
  <c r="C6" i="193"/>
  <c r="B131" i="191"/>
  <c r="C131" i="191" s="1"/>
  <c r="D131" i="191" s="1"/>
  <c r="E131" i="191" s="1"/>
  <c r="F131" i="191" s="1"/>
  <c r="G131" i="191" s="1"/>
  <c r="C13" i="193"/>
  <c r="B90" i="191" s="1"/>
  <c r="C12" i="193"/>
  <c r="B61" i="191" s="1"/>
  <c r="C11" i="193"/>
  <c r="B59" i="191" s="1"/>
  <c r="C8" i="193"/>
  <c r="B47" i="191" s="1"/>
  <c r="B122" i="191"/>
  <c r="B117" i="191"/>
  <c r="B116" i="191"/>
  <c r="B115" i="191"/>
  <c r="A114" i="191"/>
  <c r="B109" i="191"/>
  <c r="B93" i="191"/>
  <c r="B92" i="191"/>
  <c r="B91" i="191"/>
  <c r="C91" i="191" s="1"/>
  <c r="D91" i="191" s="1"/>
  <c r="E91" i="191" s="1"/>
  <c r="F91" i="191" s="1"/>
  <c r="G91" i="191" s="1"/>
  <c r="B89" i="191"/>
  <c r="C89" i="191" s="1"/>
  <c r="D89" i="191" s="1"/>
  <c r="E89" i="191" s="1"/>
  <c r="F89" i="191" s="1"/>
  <c r="G89" i="191" s="1"/>
  <c r="B88" i="191"/>
  <c r="B83" i="191"/>
  <c r="C83" i="191" s="1"/>
  <c r="D83" i="191" s="1"/>
  <c r="E83" i="191" s="1"/>
  <c r="F83" i="191" s="1"/>
  <c r="G83" i="191" s="1"/>
  <c r="B82" i="191"/>
  <c r="C82" i="191" s="1"/>
  <c r="D82" i="191" s="1"/>
  <c r="E82" i="191" s="1"/>
  <c r="F82" i="191" s="1"/>
  <c r="G82" i="191" s="1"/>
  <c r="B81" i="191"/>
  <c r="C81" i="191" s="1"/>
  <c r="D81" i="191" s="1"/>
  <c r="E81" i="191" s="1"/>
  <c r="F81" i="191" s="1"/>
  <c r="G81" i="191" s="1"/>
  <c r="B80" i="191"/>
  <c r="C80" i="191" s="1"/>
  <c r="D80" i="191" s="1"/>
  <c r="E80" i="191" s="1"/>
  <c r="F80" i="191" s="1"/>
  <c r="G80" i="191" s="1"/>
  <c r="B79" i="191"/>
  <c r="B128" i="191" s="1"/>
  <c r="B73" i="191"/>
  <c r="B72" i="191"/>
  <c r="C72" i="191" s="1"/>
  <c r="D72" i="191" s="1"/>
  <c r="E72" i="191" s="1"/>
  <c r="F72" i="191" s="1"/>
  <c r="G72" i="191" s="1"/>
  <c r="B64" i="191"/>
  <c r="C64" i="191" s="1"/>
  <c r="D64" i="191" s="1"/>
  <c r="E64" i="191" s="1"/>
  <c r="F64" i="191" s="1"/>
  <c r="G64" i="191" s="1"/>
  <c r="B63" i="191"/>
  <c r="C63" i="191" s="1"/>
  <c r="D63" i="191" s="1"/>
  <c r="E63" i="191" s="1"/>
  <c r="B62" i="191"/>
  <c r="A62" i="191"/>
  <c r="B60" i="191"/>
  <c r="C60" i="191" s="1"/>
  <c r="D60" i="191" s="1"/>
  <c r="E60" i="191" s="1"/>
  <c r="F60" i="191" s="1"/>
  <c r="G60" i="191" s="1"/>
  <c r="A61" i="191"/>
  <c r="A60" i="191"/>
  <c r="B54" i="191"/>
  <c r="C54" i="191" s="1"/>
  <c r="D54" i="191" s="1"/>
  <c r="E54" i="191" s="1"/>
  <c r="F54" i="191" s="1"/>
  <c r="G54" i="191" s="1"/>
  <c r="A54" i="191"/>
  <c r="B53" i="191"/>
  <c r="C53" i="191" s="1"/>
  <c r="D53" i="191" s="1"/>
  <c r="E53" i="191" s="1"/>
  <c r="F53" i="191" s="1"/>
  <c r="G53" i="191" s="1"/>
  <c r="A53" i="191"/>
  <c r="B52" i="191"/>
  <c r="C52" i="191" s="1"/>
  <c r="D52" i="191" s="1"/>
  <c r="E52" i="191" s="1"/>
  <c r="F52" i="191" s="1"/>
  <c r="G52" i="191" s="1"/>
  <c r="B51" i="191"/>
  <c r="C51" i="191" s="1"/>
  <c r="D51" i="191" s="1"/>
  <c r="E51" i="191" s="1"/>
  <c r="F51" i="191" s="1"/>
  <c r="G51" i="191" s="1"/>
  <c r="B50" i="191"/>
  <c r="C50" i="191" s="1"/>
  <c r="D50" i="191" s="1"/>
  <c r="E50" i="191" s="1"/>
  <c r="F50" i="191" s="1"/>
  <c r="G50" i="191" s="1"/>
  <c r="B49" i="191"/>
  <c r="C49" i="191" s="1"/>
  <c r="D49" i="191" s="1"/>
  <c r="E49" i="191" s="1"/>
  <c r="F49" i="191" s="1"/>
  <c r="G49" i="191" s="1"/>
  <c r="G129" i="191" s="1"/>
  <c r="B39" i="191"/>
  <c r="C39" i="191" s="1"/>
  <c r="D39" i="191" s="1"/>
  <c r="E39" i="191" s="1"/>
  <c r="F39" i="191" s="1"/>
  <c r="G39" i="191" s="1"/>
  <c r="A39" i="191"/>
  <c r="B38" i="191"/>
  <c r="B29" i="191"/>
  <c r="C30" i="191"/>
  <c r="D30" i="191" s="1"/>
  <c r="E30" i="191" s="1"/>
  <c r="F30" i="191" s="1"/>
  <c r="G30" i="191" s="1"/>
  <c r="B27" i="191"/>
  <c r="C27" i="191" s="1"/>
  <c r="D27" i="191" s="1"/>
  <c r="E27" i="191" s="1"/>
  <c r="F27" i="191" s="1"/>
  <c r="G27" i="191" s="1"/>
  <c r="G107" i="191" s="1"/>
  <c r="B20" i="191"/>
  <c r="B19" i="191"/>
  <c r="B18" i="191"/>
  <c r="B17" i="191"/>
  <c r="B11" i="191"/>
  <c r="B10" i="191"/>
  <c r="B9" i="191"/>
  <c r="B8" i="191"/>
  <c r="C107" i="190"/>
  <c r="D107" i="190" s="1"/>
  <c r="E107" i="190" s="1"/>
  <c r="F107" i="190" s="1"/>
  <c r="G107" i="190" s="1"/>
  <c r="C106" i="190"/>
  <c r="D106" i="190" s="1"/>
  <c r="E106" i="190" s="1"/>
  <c r="F106" i="190" s="1"/>
  <c r="C98" i="190"/>
  <c r="D98" i="190" s="1"/>
  <c r="E98" i="190" s="1"/>
  <c r="F98" i="190" s="1"/>
  <c r="G98" i="190" s="1"/>
  <c r="C79" i="190"/>
  <c r="D79" i="190" s="1"/>
  <c r="E79" i="190" s="1"/>
  <c r="F79" i="190" s="1"/>
  <c r="G79" i="190" s="1"/>
  <c r="C92" i="190"/>
  <c r="D92" i="190" s="1"/>
  <c r="E92" i="190" s="1"/>
  <c r="F92" i="190" s="1"/>
  <c r="G92" i="190" s="1"/>
  <c r="G91" i="190" s="1"/>
  <c r="C88" i="190"/>
  <c r="C99" i="190" s="1"/>
  <c r="C82" i="190"/>
  <c r="D82" i="190" s="1"/>
  <c r="E82" i="190" s="1"/>
  <c r="F82" i="190" s="1"/>
  <c r="G82" i="190" s="1"/>
  <c r="G83" i="190" s="1"/>
  <c r="C73" i="190"/>
  <c r="D73" i="190" s="1"/>
  <c r="E73" i="190" s="1"/>
  <c r="F73" i="190" s="1"/>
  <c r="G73" i="190" s="1"/>
  <c r="G74" i="190" s="1"/>
  <c r="C69" i="190"/>
  <c r="D69" i="190" s="1"/>
  <c r="E69" i="190" s="1"/>
  <c r="F69" i="190" s="1"/>
  <c r="G69" i="190" s="1"/>
  <c r="G70" i="190" s="1"/>
  <c r="C63" i="190"/>
  <c r="D63" i="190" s="1"/>
  <c r="E63" i="190" s="1"/>
  <c r="F63" i="190" s="1"/>
  <c r="G63" i="190" s="1"/>
  <c r="G64" i="190" s="1"/>
  <c r="C59" i="190"/>
  <c r="C58" i="190" s="1"/>
  <c r="B6" i="198" s="1"/>
  <c r="C55" i="190"/>
  <c r="D55" i="190" s="1"/>
  <c r="E55" i="190" s="1"/>
  <c r="F55" i="190" s="1"/>
  <c r="G55" i="190" s="1"/>
  <c r="G56" i="190" s="1"/>
  <c r="C47" i="190"/>
  <c r="D47" i="190" s="1"/>
  <c r="E47" i="190" s="1"/>
  <c r="F47" i="190" s="1"/>
  <c r="G47" i="190" s="1"/>
  <c r="G48" i="190" s="1"/>
  <c r="D23" i="185"/>
  <c r="E23" i="185"/>
  <c r="F23" i="185"/>
  <c r="C23" i="185"/>
  <c r="C12" i="185"/>
  <c r="D40" i="190"/>
  <c r="D41" i="190" s="1"/>
  <c r="E40" i="190"/>
  <c r="E41" i="190" s="1"/>
  <c r="F40" i="190"/>
  <c r="F39" i="190" s="1"/>
  <c r="G40" i="190"/>
  <c r="G39" i="190" s="1"/>
  <c r="C40" i="190"/>
  <c r="D36" i="190"/>
  <c r="E36" i="190"/>
  <c r="F36" i="190"/>
  <c r="G36" i="190"/>
  <c r="G35" i="190" s="1"/>
  <c r="C36" i="190"/>
  <c r="C8" i="198" s="1"/>
  <c r="D8" i="185"/>
  <c r="E23" i="190" s="1"/>
  <c r="E22" i="190" s="1"/>
  <c r="E8" i="185"/>
  <c r="F8" i="185"/>
  <c r="C8" i="185"/>
  <c r="C57" i="188"/>
  <c r="D57" i="188"/>
  <c r="E57" i="188"/>
  <c r="F57" i="188"/>
  <c r="B57" i="188"/>
  <c r="C56" i="188"/>
  <c r="D56" i="188"/>
  <c r="E56" i="188"/>
  <c r="F56" i="188"/>
  <c r="B56" i="188"/>
  <c r="C55" i="188"/>
  <c r="D55" i="188"/>
  <c r="E55" i="188"/>
  <c r="F55" i="188"/>
  <c r="B55" i="188"/>
  <c r="C54" i="188"/>
  <c r="D54" i="188"/>
  <c r="E54" i="188"/>
  <c r="F54" i="188"/>
  <c r="B54" i="188"/>
  <c r="C51" i="188"/>
  <c r="D51" i="188"/>
  <c r="E51" i="188"/>
  <c r="F51" i="188"/>
  <c r="B51" i="188"/>
  <c r="C50" i="188"/>
  <c r="D50" i="188"/>
  <c r="E50" i="188"/>
  <c r="F50" i="188"/>
  <c r="B50" i="188"/>
  <c r="C49" i="188"/>
  <c r="D49" i="188"/>
  <c r="E49" i="188"/>
  <c r="F49" i="188"/>
  <c r="B49" i="188"/>
  <c r="C48" i="188"/>
  <c r="D48" i="188"/>
  <c r="E48" i="188"/>
  <c r="F48" i="188"/>
  <c r="B48" i="188"/>
  <c r="C43" i="188"/>
  <c r="D43" i="188"/>
  <c r="E43" i="188"/>
  <c r="F43" i="188"/>
  <c r="B43" i="188"/>
  <c r="C42" i="188"/>
  <c r="D42" i="188"/>
  <c r="E42" i="188"/>
  <c r="F42" i="188"/>
  <c r="B42" i="188"/>
  <c r="D41" i="188"/>
  <c r="E41" i="188"/>
  <c r="C40" i="188"/>
  <c r="C44" i="188" s="1"/>
  <c r="D40" i="188"/>
  <c r="D44" i="188" s="1"/>
  <c r="E40" i="188"/>
  <c r="E44" i="188" s="1"/>
  <c r="F40" i="188"/>
  <c r="F41" i="188" s="1"/>
  <c r="B40" i="188"/>
  <c r="B41" i="188" s="1"/>
  <c r="E36" i="188"/>
  <c r="E37" i="188" s="1"/>
  <c r="C37" i="188"/>
  <c r="B37" i="188"/>
  <c r="C36" i="188"/>
  <c r="D36" i="188"/>
  <c r="D37" i="188" s="1"/>
  <c r="F36" i="188"/>
  <c r="F37" i="188" s="1"/>
  <c r="B36" i="188"/>
  <c r="C34" i="188"/>
  <c r="D34" i="188"/>
  <c r="E34" i="188"/>
  <c r="F34" i="188"/>
  <c r="B34" i="188"/>
  <c r="C33" i="188"/>
  <c r="C35" i="188" s="1"/>
  <c r="D33" i="188"/>
  <c r="D35" i="188" s="1"/>
  <c r="E33" i="188"/>
  <c r="E35" i="188" s="1"/>
  <c r="F33" i="188"/>
  <c r="F35" i="188" s="1"/>
  <c r="B33" i="188"/>
  <c r="C32" i="188"/>
  <c r="D32" i="188"/>
  <c r="E32" i="188"/>
  <c r="F32" i="188"/>
  <c r="B32" i="188"/>
  <c r="B35" i="188" s="1"/>
  <c r="B27" i="188"/>
  <c r="C29" i="188"/>
  <c r="D29" i="188"/>
  <c r="E27" i="188"/>
  <c r="F27" i="188"/>
  <c r="E25" i="188"/>
  <c r="E28" i="188" s="1"/>
  <c r="C23" i="188"/>
  <c r="D23" i="188"/>
  <c r="E23" i="188"/>
  <c r="F23" i="188"/>
  <c r="F25" i="188" s="1"/>
  <c r="F28" i="188" s="1"/>
  <c r="B23" i="188"/>
  <c r="C22" i="188"/>
  <c r="C27" i="188" s="1"/>
  <c r="D22" i="188"/>
  <c r="D27" i="188" s="1"/>
  <c r="E22" i="188"/>
  <c r="F22" i="188"/>
  <c r="B22" i="188"/>
  <c r="B25" i="188" s="1"/>
  <c r="B28" i="188" s="1"/>
  <c r="C19" i="188"/>
  <c r="D19" i="188"/>
  <c r="E19" i="188"/>
  <c r="F19" i="188"/>
  <c r="B19" i="188"/>
  <c r="C17" i="188"/>
  <c r="D17" i="188"/>
  <c r="E17" i="188"/>
  <c r="F17" i="188"/>
  <c r="B17" i="188"/>
  <c r="D7" i="188"/>
  <c r="E7" i="188"/>
  <c r="F7" i="188"/>
  <c r="C7" i="188"/>
  <c r="C13" i="188"/>
  <c r="D13" i="188"/>
  <c r="E13" i="188"/>
  <c r="F13" i="188"/>
  <c r="B13" i="188"/>
  <c r="C14" i="188"/>
  <c r="D14" i="188"/>
  <c r="E14" i="188"/>
  <c r="F14" i="188"/>
  <c r="B14" i="188"/>
  <c r="C12" i="188"/>
  <c r="D12" i="188"/>
  <c r="E12" i="188"/>
  <c r="F12" i="188"/>
  <c r="B12" i="188"/>
  <c r="D5" i="188"/>
  <c r="E5" i="188"/>
  <c r="F5" i="188"/>
  <c r="C5" i="188"/>
  <c r="C9" i="188"/>
  <c r="C18" i="188" s="1"/>
  <c r="D9" i="188"/>
  <c r="D18" i="188" s="1"/>
  <c r="E9" i="188"/>
  <c r="E29" i="188" s="1"/>
  <c r="F9" i="188"/>
  <c r="F29" i="188" s="1"/>
  <c r="B9" i="188"/>
  <c r="B29" i="188" s="1"/>
  <c r="D8" i="188"/>
  <c r="E8" i="188"/>
  <c r="F8" i="188"/>
  <c r="C8" i="188"/>
  <c r="D6" i="188"/>
  <c r="E6" i="188"/>
  <c r="F6" i="188"/>
  <c r="C6" i="188"/>
  <c r="C27" i="186"/>
  <c r="D27" i="186"/>
  <c r="E27" i="186"/>
  <c r="F27" i="186"/>
  <c r="B27" i="186"/>
  <c r="C50" i="185"/>
  <c r="D50" i="185"/>
  <c r="E50" i="185"/>
  <c r="F50" i="185"/>
  <c r="B50" i="185"/>
  <c r="C40" i="185"/>
  <c r="D40" i="185"/>
  <c r="E40" i="185"/>
  <c r="F40" i="185"/>
  <c r="B40" i="185"/>
  <c r="C38" i="185"/>
  <c r="D38" i="185"/>
  <c r="E38" i="185"/>
  <c r="F38" i="185"/>
  <c r="B38" i="185"/>
  <c r="B12" i="185"/>
  <c r="D12" i="185"/>
  <c r="E12" i="185"/>
  <c r="F12" i="185"/>
  <c r="C10" i="185"/>
  <c r="D10" i="185"/>
  <c r="E10" i="185"/>
  <c r="F10" i="185"/>
  <c r="B10" i="185"/>
  <c r="B220" i="201" l="1"/>
  <c r="B221" i="201" s="1"/>
  <c r="B218" i="201"/>
  <c r="J97" i="201"/>
  <c r="C76" i="201" s="1"/>
  <c r="B76" i="201" s="1"/>
  <c r="C181" i="201" s="1"/>
  <c r="C90" i="201"/>
  <c r="C60" i="201"/>
  <c r="E113" i="201"/>
  <c r="E112" i="201"/>
  <c r="E109" i="201"/>
  <c r="E108" i="201"/>
  <c r="D123" i="201" s="1"/>
  <c r="E111" i="201"/>
  <c r="E107" i="201"/>
  <c r="E110" i="201"/>
  <c r="I100" i="201"/>
  <c r="J99" i="201"/>
  <c r="C83" i="201" s="1"/>
  <c r="I99" i="201"/>
  <c r="I98" i="201"/>
  <c r="I97" i="201"/>
  <c r="I101" i="201"/>
  <c r="B8" i="199"/>
  <c r="B10" i="199"/>
  <c r="B19" i="199"/>
  <c r="B20" i="199" s="1"/>
  <c r="C41" i="188"/>
  <c r="B17" i="187"/>
  <c r="B20" i="187" s="1"/>
  <c r="C15" i="198"/>
  <c r="D15" i="198"/>
  <c r="F93" i="190"/>
  <c r="C93" i="190"/>
  <c r="C90" i="190" s="1"/>
  <c r="D100" i="190"/>
  <c r="C6" i="198"/>
  <c r="E100" i="190"/>
  <c r="C91" i="190"/>
  <c r="C100" i="190"/>
  <c r="E93" i="190"/>
  <c r="E90" i="190" s="1"/>
  <c r="G100" i="190"/>
  <c r="D93" i="190"/>
  <c r="D90" i="190" s="1"/>
  <c r="C7" i="198"/>
  <c r="F100" i="190"/>
  <c r="C87" i="190"/>
  <c r="D91" i="190"/>
  <c r="F90" i="190"/>
  <c r="G93" i="190"/>
  <c r="G90" i="190" s="1"/>
  <c r="F91" i="190"/>
  <c r="E91" i="190"/>
  <c r="F68" i="190"/>
  <c r="C89" i="190"/>
  <c r="C86" i="190" s="1"/>
  <c r="C11" i="191" s="1"/>
  <c r="C20" i="191" s="1"/>
  <c r="C68" i="190"/>
  <c r="D70" i="190"/>
  <c r="F72" i="190"/>
  <c r="C72" i="190"/>
  <c r="B7" i="198" s="1"/>
  <c r="E74" i="190"/>
  <c r="E71" i="190" s="1"/>
  <c r="F74" i="190"/>
  <c r="F71" i="190" s="1"/>
  <c r="G72" i="190"/>
  <c r="D74" i="190"/>
  <c r="D71" i="190" s="1"/>
  <c r="E72" i="190"/>
  <c r="G71" i="190"/>
  <c r="G68" i="190"/>
  <c r="G67" i="190" s="1"/>
  <c r="D72" i="190"/>
  <c r="C74" i="190"/>
  <c r="D7" i="198" s="1"/>
  <c r="E70" i="190"/>
  <c r="F70" i="190"/>
  <c r="D68" i="190"/>
  <c r="C70" i="190"/>
  <c r="E68" i="190"/>
  <c r="F56" i="190"/>
  <c r="C54" i="190"/>
  <c r="E56" i="190"/>
  <c r="G54" i="190"/>
  <c r="G53" i="190" s="1"/>
  <c r="D56" i="190"/>
  <c r="C46" i="190"/>
  <c r="F54" i="190"/>
  <c r="F46" i="190"/>
  <c r="E54" i="190"/>
  <c r="E46" i="190"/>
  <c r="D54" i="190"/>
  <c r="F48" i="190"/>
  <c r="C56" i="190"/>
  <c r="E48" i="190"/>
  <c r="G46" i="190"/>
  <c r="G45" i="190" s="1"/>
  <c r="D48" i="190"/>
  <c r="D46" i="190"/>
  <c r="D45" i="190" s="1"/>
  <c r="D7" i="190"/>
  <c r="E39" i="190"/>
  <c r="E38" i="190" s="1"/>
  <c r="C48" i="190"/>
  <c r="F41" i="190"/>
  <c r="F38" i="190" s="1"/>
  <c r="C39" i="190"/>
  <c r="C41" i="190"/>
  <c r="D39" i="190"/>
  <c r="D38" i="190" s="1"/>
  <c r="G41" i="190"/>
  <c r="G38" i="190" s="1"/>
  <c r="E24" i="190"/>
  <c r="E21" i="190" s="1"/>
  <c r="C7" i="190"/>
  <c r="B167" i="201" s="1"/>
  <c r="G7" i="190"/>
  <c r="F7" i="190"/>
  <c r="E7" i="190"/>
  <c r="G81" i="190"/>
  <c r="G80" i="190" s="1"/>
  <c r="F81" i="190"/>
  <c r="E81" i="190"/>
  <c r="E80" i="190" s="1"/>
  <c r="D83" i="190"/>
  <c r="F83" i="190"/>
  <c r="C81" i="190"/>
  <c r="E83" i="190"/>
  <c r="D81" i="190"/>
  <c r="C83" i="190"/>
  <c r="C62" i="190"/>
  <c r="G62" i="190"/>
  <c r="G61" i="190" s="1"/>
  <c r="E64" i="190"/>
  <c r="D64" i="190"/>
  <c r="F62" i="190"/>
  <c r="F64" i="190"/>
  <c r="D62" i="190"/>
  <c r="C64" i="190"/>
  <c r="E62" i="190"/>
  <c r="C11" i="190"/>
  <c r="B168" i="201" s="1"/>
  <c r="C60" i="190"/>
  <c r="D6" i="198" s="1"/>
  <c r="F11" i="190"/>
  <c r="G37" i="190"/>
  <c r="F37" i="190"/>
  <c r="D35" i="190"/>
  <c r="E37" i="190"/>
  <c r="G34" i="190"/>
  <c r="D11" i="190"/>
  <c r="F35" i="190"/>
  <c r="C37" i="190"/>
  <c r="D8" i="198" s="1"/>
  <c r="E35" i="190"/>
  <c r="G11" i="190"/>
  <c r="D37" i="190"/>
  <c r="C35" i="190"/>
  <c r="B8" i="198" s="1"/>
  <c r="E11" i="190"/>
  <c r="D88" i="190"/>
  <c r="C29" i="191"/>
  <c r="D29" i="191" s="1"/>
  <c r="D108" i="191" s="1"/>
  <c r="E7" i="193"/>
  <c r="F129" i="191"/>
  <c r="B107" i="191"/>
  <c r="C7" i="193"/>
  <c r="B95" i="191"/>
  <c r="B66" i="191"/>
  <c r="C122" i="191"/>
  <c r="E129" i="191"/>
  <c r="B125" i="191"/>
  <c r="B129" i="191"/>
  <c r="C129" i="191"/>
  <c r="D7" i="193"/>
  <c r="C88" i="191"/>
  <c r="D88" i="191" s="1"/>
  <c r="E88" i="191" s="1"/>
  <c r="F88" i="191" s="1"/>
  <c r="G88" i="191" s="1"/>
  <c r="F107" i="191"/>
  <c r="D129" i="191"/>
  <c r="C79" i="191"/>
  <c r="H7" i="193"/>
  <c r="B130" i="191"/>
  <c r="G7" i="193"/>
  <c r="F7" i="193"/>
  <c r="F63" i="191"/>
  <c r="G63" i="191" s="1"/>
  <c r="B85" i="191"/>
  <c r="E107" i="191"/>
  <c r="D107" i="191"/>
  <c r="C107" i="191"/>
  <c r="B56" i="191"/>
  <c r="B108" i="191"/>
  <c r="B21" i="191"/>
  <c r="C21" i="191" s="1"/>
  <c r="B10" i="196" s="1"/>
  <c r="D10" i="196" s="1"/>
  <c r="B12" i="191"/>
  <c r="C12" i="191" s="1"/>
  <c r="D12" i="191" s="1"/>
  <c r="E12" i="191" s="1"/>
  <c r="F12" i="191" s="1"/>
  <c r="G12" i="191" s="1"/>
  <c r="D59" i="190"/>
  <c r="F23" i="190"/>
  <c r="E27" i="190"/>
  <c r="F27" i="190"/>
  <c r="G23" i="190"/>
  <c r="D33" i="190"/>
  <c r="G33" i="190"/>
  <c r="D27" i="190"/>
  <c r="D23" i="190"/>
  <c r="C33" i="190"/>
  <c r="C27" i="190"/>
  <c r="F33" i="190"/>
  <c r="C23" i="190"/>
  <c r="C24" i="190" s="1"/>
  <c r="G27" i="190"/>
  <c r="E33" i="190"/>
  <c r="B44" i="188"/>
  <c r="F44" i="188"/>
  <c r="D25" i="188"/>
  <c r="D28" i="188" s="1"/>
  <c r="B18" i="188"/>
  <c r="C25" i="188"/>
  <c r="C28" i="188" s="1"/>
  <c r="F18" i="188"/>
  <c r="E18" i="188"/>
  <c r="B31" i="197" l="1"/>
  <c r="C31" i="201"/>
  <c r="D50" i="201"/>
  <c r="B50" i="199"/>
  <c r="E53" i="201"/>
  <c r="B89" i="201"/>
  <c r="G123" i="201"/>
  <c r="C131" i="201" s="1"/>
  <c r="D131" i="201" s="1"/>
  <c r="E123" i="201"/>
  <c r="D52" i="201"/>
  <c r="D6" i="195"/>
  <c r="G11" i="195" s="1"/>
  <c r="C21" i="195" s="1"/>
  <c r="C15" i="200"/>
  <c r="C14" i="200"/>
  <c r="D5" i="195"/>
  <c r="C18" i="195" s="1"/>
  <c r="C7" i="189"/>
  <c r="E61" i="190"/>
  <c r="C57" i="190"/>
  <c r="C38" i="190"/>
  <c r="F34" i="190"/>
  <c r="D34" i="190"/>
  <c r="C67" i="190"/>
  <c r="C10" i="191" s="1"/>
  <c r="F61" i="190"/>
  <c r="E45" i="190"/>
  <c r="C45" i="190"/>
  <c r="D67" i="190"/>
  <c r="C71" i="190"/>
  <c r="D53" i="190"/>
  <c r="C22" i="200"/>
  <c r="C17" i="199"/>
  <c r="B18" i="196"/>
  <c r="B156" i="201" s="1"/>
  <c r="B172" i="201" s="1"/>
  <c r="B189" i="201" s="1"/>
  <c r="D61" i="190"/>
  <c r="F45" i="190"/>
  <c r="E67" i="190"/>
  <c r="B133" i="191"/>
  <c r="C137" i="191" s="1"/>
  <c r="F80" i="190"/>
  <c r="C53" i="190"/>
  <c r="E53" i="190"/>
  <c r="F67" i="190"/>
  <c r="D80" i="190"/>
  <c r="E34" i="190"/>
  <c r="F53" i="190"/>
  <c r="D89" i="190"/>
  <c r="D86" i="190" s="1"/>
  <c r="D11" i="191" s="1"/>
  <c r="B88" i="201" s="1"/>
  <c r="D87" i="190"/>
  <c r="F28" i="190"/>
  <c r="F26" i="190"/>
  <c r="E28" i="190"/>
  <c r="E26" i="190"/>
  <c r="C26" i="190"/>
  <c r="C28" i="190"/>
  <c r="D26" i="190"/>
  <c r="D28" i="190"/>
  <c r="G26" i="190"/>
  <c r="G28" i="190"/>
  <c r="G22" i="190"/>
  <c r="G24" i="190"/>
  <c r="F22" i="190"/>
  <c r="F24" i="190"/>
  <c r="D22" i="190"/>
  <c r="D24" i="190"/>
  <c r="C22" i="190"/>
  <c r="C21" i="190" s="1"/>
  <c r="C8" i="191" s="1"/>
  <c r="C34" i="190"/>
  <c r="C61" i="190"/>
  <c r="C80" i="190"/>
  <c r="D60" i="190"/>
  <c r="D58" i="190"/>
  <c r="E29" i="191"/>
  <c r="E130" i="191" s="1"/>
  <c r="C130" i="191"/>
  <c r="D99" i="190"/>
  <c r="E88" i="190"/>
  <c r="B9" i="196"/>
  <c r="D9" i="196" s="1"/>
  <c r="C34" i="195"/>
  <c r="D130" i="191"/>
  <c r="C108" i="191"/>
  <c r="D6" i="193"/>
  <c r="D8" i="193" s="1"/>
  <c r="C47" i="191" s="1"/>
  <c r="C56" i="191" s="1"/>
  <c r="B12" i="194"/>
  <c r="B97" i="191"/>
  <c r="B69" i="191"/>
  <c r="D122" i="191"/>
  <c r="C125" i="191"/>
  <c r="C128" i="191"/>
  <c r="D79" i="191"/>
  <c r="C85" i="191"/>
  <c r="D21" i="191"/>
  <c r="E21" i="191" s="1"/>
  <c r="B14" i="191"/>
  <c r="B19" i="197" s="1"/>
  <c r="B23" i="191"/>
  <c r="E59" i="190"/>
  <c r="C19" i="195" l="1"/>
  <c r="E11" i="195"/>
  <c r="C11" i="195"/>
  <c r="F11" i="195"/>
  <c r="D11" i="195"/>
  <c r="B32" i="197"/>
  <c r="C32" i="201"/>
  <c r="F53" i="201"/>
  <c r="B152" i="201"/>
  <c r="D10" i="191"/>
  <c r="B58" i="201" s="1"/>
  <c r="C9" i="191"/>
  <c r="C18" i="191" s="1"/>
  <c r="D57" i="190"/>
  <c r="D44" i="190" s="1"/>
  <c r="C19" i="191"/>
  <c r="G25" i="190"/>
  <c r="E25" i="190"/>
  <c r="D21" i="190"/>
  <c r="D8" i="191" s="1"/>
  <c r="D25" i="190"/>
  <c r="E79" i="191"/>
  <c r="E128" i="191" s="1"/>
  <c r="E133" i="191" s="1"/>
  <c r="D17" i="199"/>
  <c r="G21" i="190"/>
  <c r="F21" i="190"/>
  <c r="F25" i="190"/>
  <c r="C25" i="190"/>
  <c r="D20" i="191"/>
  <c r="E87" i="190"/>
  <c r="E89" i="190"/>
  <c r="E86" i="190" s="1"/>
  <c r="E11" i="191" s="1"/>
  <c r="C44" i="190"/>
  <c r="C17" i="191"/>
  <c r="E60" i="190"/>
  <c r="E58" i="190"/>
  <c r="E57" i="190" s="1"/>
  <c r="C133" i="191"/>
  <c r="D128" i="191"/>
  <c r="D133" i="191" s="1"/>
  <c r="E108" i="191"/>
  <c r="F29" i="191"/>
  <c r="F130" i="191" s="1"/>
  <c r="F88" i="190"/>
  <c r="E99" i="190"/>
  <c r="B26" i="191"/>
  <c r="B28" i="191" s="1"/>
  <c r="B32" i="191" s="1"/>
  <c r="B106" i="191" s="1"/>
  <c r="B111" i="191" s="1"/>
  <c r="B114" i="191" s="1"/>
  <c r="B119" i="191" s="1"/>
  <c r="B20" i="197"/>
  <c r="B21" i="197" s="1"/>
  <c r="E6" i="193"/>
  <c r="E8" i="193" s="1"/>
  <c r="D47" i="191" s="1"/>
  <c r="D56" i="191" s="1"/>
  <c r="C12" i="194"/>
  <c r="E122" i="191"/>
  <c r="D125" i="191"/>
  <c r="D85" i="191"/>
  <c r="F21" i="191"/>
  <c r="F59" i="190"/>
  <c r="E10" i="191" l="1"/>
  <c r="F10" i="191" s="1"/>
  <c r="D19" i="191"/>
  <c r="C14" i="191"/>
  <c r="E96" i="201" s="1"/>
  <c r="B82" i="201"/>
  <c r="E52" i="201"/>
  <c r="B48" i="199"/>
  <c r="E51" i="201"/>
  <c r="B59" i="201"/>
  <c r="B75" i="201"/>
  <c r="E50" i="201"/>
  <c r="E8" i="191"/>
  <c r="F8" i="191" s="1"/>
  <c r="G8" i="191" s="1"/>
  <c r="B81" i="201"/>
  <c r="D9" i="191"/>
  <c r="E9" i="191" s="1"/>
  <c r="E18" i="191" s="1"/>
  <c r="E19" i="191"/>
  <c r="B8" i="196"/>
  <c r="D8" i="196" s="1"/>
  <c r="F79" i="191"/>
  <c r="F128" i="191" s="1"/>
  <c r="F133" i="191" s="1"/>
  <c r="E17" i="199"/>
  <c r="B7" i="196"/>
  <c r="D7" i="196" s="1"/>
  <c r="C28" i="201" s="1"/>
  <c r="B46" i="199"/>
  <c r="B6" i="196"/>
  <c r="D6" i="196" s="1"/>
  <c r="B47" i="199"/>
  <c r="D17" i="191"/>
  <c r="E20" i="191"/>
  <c r="F87" i="190"/>
  <c r="F89" i="190"/>
  <c r="F86" i="190" s="1"/>
  <c r="F11" i="191" s="1"/>
  <c r="G10" i="191"/>
  <c r="G19" i="191" s="1"/>
  <c r="B182" i="201" s="1"/>
  <c r="D182" i="201" s="1"/>
  <c r="E182" i="201" s="1"/>
  <c r="F19" i="191"/>
  <c r="E44" i="190"/>
  <c r="C23" i="191"/>
  <c r="G29" i="191"/>
  <c r="G130" i="191" s="1"/>
  <c r="F60" i="190"/>
  <c r="F58" i="190"/>
  <c r="F108" i="191"/>
  <c r="B36" i="191"/>
  <c r="B41" i="191" s="1"/>
  <c r="B22" i="197" s="1"/>
  <c r="G88" i="190"/>
  <c r="F99" i="190"/>
  <c r="F6" i="193"/>
  <c r="F8" i="193" s="1"/>
  <c r="E47" i="191" s="1"/>
  <c r="E56" i="191" s="1"/>
  <c r="D12" i="194"/>
  <c r="F122" i="191"/>
  <c r="G106" i="190" s="1"/>
  <c r="E125" i="191"/>
  <c r="E85" i="191"/>
  <c r="G21" i="191"/>
  <c r="G59" i="190"/>
  <c r="C6" i="199" l="1"/>
  <c r="D12" i="193"/>
  <c r="C61" i="191" s="1"/>
  <c r="C116" i="191" s="1"/>
  <c r="D11" i="193"/>
  <c r="C59" i="191" s="1"/>
  <c r="C115" i="191" s="1"/>
  <c r="D13" i="193"/>
  <c r="C90" i="191" s="1"/>
  <c r="C117" i="191" s="1"/>
  <c r="C19" i="197"/>
  <c r="D14" i="191"/>
  <c r="E12" i="193" s="1"/>
  <c r="D61" i="191" s="1"/>
  <c r="D116" i="191" s="1"/>
  <c r="B29" i="197"/>
  <c r="C29" i="201"/>
  <c r="B149" i="201"/>
  <c r="F50" i="201"/>
  <c r="E17" i="191"/>
  <c r="E23" i="191" s="1"/>
  <c r="B30" i="197"/>
  <c r="C30" i="201"/>
  <c r="F51" i="201"/>
  <c r="B150" i="201"/>
  <c r="C69" i="201"/>
  <c r="D69" i="201" s="1"/>
  <c r="C66" i="201"/>
  <c r="D66" i="201" s="1"/>
  <c r="C68" i="201"/>
  <c r="C67" i="201"/>
  <c r="C20" i="197"/>
  <c r="F96" i="201"/>
  <c r="D18" i="191"/>
  <c r="D23" i="191" s="1"/>
  <c r="B74" i="201"/>
  <c r="B151" i="201"/>
  <c r="F52" i="201"/>
  <c r="B19" i="196"/>
  <c r="F57" i="190"/>
  <c r="F44" i="190" s="1"/>
  <c r="G79" i="191"/>
  <c r="G17" i="199" s="1"/>
  <c r="F17" i="199"/>
  <c r="D12" i="196"/>
  <c r="B28" i="197"/>
  <c r="C26" i="191"/>
  <c r="C28" i="191" s="1"/>
  <c r="C7" i="199"/>
  <c r="C47" i="199" s="1"/>
  <c r="F20" i="191"/>
  <c r="E14" i="191"/>
  <c r="G99" i="190"/>
  <c r="G89" i="190"/>
  <c r="G86" i="190" s="1"/>
  <c r="G11" i="191" s="1"/>
  <c r="G20" i="191" s="1"/>
  <c r="B184" i="201" s="1"/>
  <c r="D184" i="201" s="1"/>
  <c r="E184" i="201" s="1"/>
  <c r="G87" i="190"/>
  <c r="G108" i="191"/>
  <c r="G58" i="190"/>
  <c r="G60" i="190"/>
  <c r="G6" i="193"/>
  <c r="G8" i="193" s="1"/>
  <c r="F47" i="191" s="1"/>
  <c r="F56" i="191" s="1"/>
  <c r="E12" i="194"/>
  <c r="G122" i="191"/>
  <c r="F12" i="194" s="1"/>
  <c r="F125" i="191"/>
  <c r="F85" i="191"/>
  <c r="F17" i="191"/>
  <c r="D6" i="199" l="1"/>
  <c r="E13" i="193"/>
  <c r="D90" i="191" s="1"/>
  <c r="C21" i="197"/>
  <c r="D117" i="191"/>
  <c r="B13" i="194"/>
  <c r="D19" i="197"/>
  <c r="E11" i="193"/>
  <c r="D59" i="191" s="1"/>
  <c r="D115" i="191" s="1"/>
  <c r="C33" i="201"/>
  <c r="D29" i="201" s="1"/>
  <c r="F9" i="191"/>
  <c r="F18" i="191" s="1"/>
  <c r="F23" i="191" s="1"/>
  <c r="C30" i="197"/>
  <c r="D7" i="199"/>
  <c r="D8" i="199" s="1"/>
  <c r="D20" i="197"/>
  <c r="D26" i="191"/>
  <c r="D28" i="191" s="1"/>
  <c r="D32" i="191" s="1"/>
  <c r="D34" i="191" s="1"/>
  <c r="D109" i="191" s="1"/>
  <c r="B157" i="201"/>
  <c r="B173" i="201" s="1"/>
  <c r="B190" i="201" s="1"/>
  <c r="C29" i="197"/>
  <c r="C31" i="197"/>
  <c r="C28" i="197"/>
  <c r="B16" i="196"/>
  <c r="C32" i="197"/>
  <c r="G57" i="190"/>
  <c r="C46" i="199"/>
  <c r="C32" i="191"/>
  <c r="C106" i="191" s="1"/>
  <c r="B6" i="194"/>
  <c r="B8" i="194" s="1"/>
  <c r="B9" i="194" s="1"/>
  <c r="E19" i="197"/>
  <c r="E6" i="199"/>
  <c r="C49" i="199"/>
  <c r="C8" i="199"/>
  <c r="C50" i="199"/>
  <c r="C48" i="199"/>
  <c r="E20" i="197"/>
  <c r="E7" i="199"/>
  <c r="F13" i="193"/>
  <c r="E90" i="191" s="1"/>
  <c r="E117" i="191" s="1"/>
  <c r="F12" i="193"/>
  <c r="E61" i="191" s="1"/>
  <c r="E116" i="191" s="1"/>
  <c r="F11" i="193"/>
  <c r="E59" i="191" s="1"/>
  <c r="F14" i="191"/>
  <c r="E26" i="191"/>
  <c r="E28" i="191" s="1"/>
  <c r="D6" i="194" s="1"/>
  <c r="D8" i="194" s="1"/>
  <c r="D9" i="194" s="1"/>
  <c r="G125" i="191"/>
  <c r="H6" i="193"/>
  <c r="H8" i="193" s="1"/>
  <c r="G47" i="191" s="1"/>
  <c r="G56" i="191" s="1"/>
  <c r="G85" i="191"/>
  <c r="G128" i="191"/>
  <c r="G133" i="191" s="1"/>
  <c r="G17" i="191"/>
  <c r="B183" i="201" s="1"/>
  <c r="D183" i="201" s="1"/>
  <c r="E183" i="201" s="1"/>
  <c r="B15" i="194" l="1"/>
  <c r="C13" i="194"/>
  <c r="E115" i="191"/>
  <c r="G9" i="191"/>
  <c r="G18" i="191" s="1"/>
  <c r="B181" i="201" s="1"/>
  <c r="D181" i="201" s="1"/>
  <c r="E181" i="201" s="1"/>
  <c r="D30" i="201"/>
  <c r="D32" i="201"/>
  <c r="D31" i="201"/>
  <c r="D33" i="201"/>
  <c r="D28" i="201"/>
  <c r="D21" i="197"/>
  <c r="D106" i="191"/>
  <c r="C6" i="194"/>
  <c r="C8" i="194" s="1"/>
  <c r="C9" i="194" s="1"/>
  <c r="C15" i="194" s="1"/>
  <c r="D11" i="199" s="1"/>
  <c r="G44" i="190"/>
  <c r="C92" i="191" s="1"/>
  <c r="D92" i="191" s="1"/>
  <c r="E92" i="191" s="1"/>
  <c r="C34" i="191"/>
  <c r="C109" i="191" s="1"/>
  <c r="C111" i="191" s="1"/>
  <c r="C114" i="191" s="1"/>
  <c r="C119" i="191" s="1"/>
  <c r="C136" i="191" s="1"/>
  <c r="C139" i="191" s="1"/>
  <c r="E21" i="197"/>
  <c r="C10" i="195"/>
  <c r="C13" i="195" s="1"/>
  <c r="C11" i="199"/>
  <c r="F20" i="197"/>
  <c r="F7" i="199"/>
  <c r="E8" i="199"/>
  <c r="F19" i="197"/>
  <c r="F6" i="199"/>
  <c r="G12" i="193"/>
  <c r="F61" i="191" s="1"/>
  <c r="F116" i="191" s="1"/>
  <c r="D13" i="194"/>
  <c r="D15" i="194" s="1"/>
  <c r="G13" i="193"/>
  <c r="F90" i="191" s="1"/>
  <c r="F117" i="191" s="1"/>
  <c r="G11" i="193"/>
  <c r="F59" i="191" s="1"/>
  <c r="F115" i="191" s="1"/>
  <c r="E32" i="191"/>
  <c r="E34" i="191" s="1"/>
  <c r="E109" i="191" s="1"/>
  <c r="F26" i="191"/>
  <c r="F28" i="191" s="1"/>
  <c r="E6" i="194" s="1"/>
  <c r="E8" i="194" s="1"/>
  <c r="E9" i="194" s="1"/>
  <c r="D111" i="191"/>
  <c r="D114" i="191" s="1"/>
  <c r="D119" i="191" s="1"/>
  <c r="D136" i="191" s="1"/>
  <c r="D36" i="191"/>
  <c r="D38" i="191" s="1"/>
  <c r="D41" i="191" s="1"/>
  <c r="D22" i="197" s="1"/>
  <c r="G14" i="191" l="1"/>
  <c r="G23" i="191"/>
  <c r="G20" i="197" s="1"/>
  <c r="D10" i="195"/>
  <c r="D13" i="195" s="1"/>
  <c r="C93" i="191"/>
  <c r="D93" i="191" s="1"/>
  <c r="E93" i="191" s="1"/>
  <c r="F93" i="191" s="1"/>
  <c r="G93" i="191" s="1"/>
  <c r="C36" i="191"/>
  <c r="C38" i="191" s="1"/>
  <c r="C41" i="191" s="1"/>
  <c r="C9" i="199" s="1"/>
  <c r="G96" i="201" s="1"/>
  <c r="K96" i="201" s="1"/>
  <c r="F21" i="197"/>
  <c r="F8" i="199"/>
  <c r="G19" i="197"/>
  <c r="G6" i="199"/>
  <c r="B27" i="199" s="1"/>
  <c r="D9" i="199"/>
  <c r="D137" i="191"/>
  <c r="D139" i="191" s="1"/>
  <c r="C18" i="199"/>
  <c r="C19" i="199" s="1"/>
  <c r="C20" i="199" s="1"/>
  <c r="G26" i="191"/>
  <c r="G28" i="191" s="1"/>
  <c r="G32" i="191" s="1"/>
  <c r="G7" i="199"/>
  <c r="E10" i="195"/>
  <c r="E13" i="195" s="1"/>
  <c r="E11" i="199"/>
  <c r="H13" i="193"/>
  <c r="G90" i="191" s="1"/>
  <c r="G117" i="191" s="1"/>
  <c r="H12" i="193"/>
  <c r="G61" i="191" s="1"/>
  <c r="G116" i="191" s="1"/>
  <c r="H11" i="193"/>
  <c r="G59" i="191" s="1"/>
  <c r="G115" i="191" s="1"/>
  <c r="E106" i="191"/>
  <c r="E111" i="191" s="1"/>
  <c r="E114" i="191" s="1"/>
  <c r="E119" i="191" s="1"/>
  <c r="E136" i="191" s="1"/>
  <c r="F32" i="191"/>
  <c r="F34" i="191" s="1"/>
  <c r="F109" i="191" s="1"/>
  <c r="C62" i="191"/>
  <c r="D96" i="201" s="1"/>
  <c r="E36" i="191"/>
  <c r="E38" i="191" s="1"/>
  <c r="F92" i="191"/>
  <c r="E13" i="194"/>
  <c r="E15" i="194" s="1"/>
  <c r="C73" i="191" l="1"/>
  <c r="D73" i="191" s="1"/>
  <c r="J96" i="201"/>
  <c r="I96" i="201"/>
  <c r="C122" i="201"/>
  <c r="D110" i="201"/>
  <c r="D108" i="201"/>
  <c r="D122" i="201" s="1"/>
  <c r="G122" i="201" s="1"/>
  <c r="C130" i="201" s="1"/>
  <c r="D130" i="201" s="1"/>
  <c r="D109" i="201"/>
  <c r="D112" i="201"/>
  <c r="D113" i="201"/>
  <c r="D107" i="201"/>
  <c r="D111" i="201"/>
  <c r="D10" i="199"/>
  <c r="C39" i="199"/>
  <c r="C10" i="199"/>
  <c r="B39" i="199"/>
  <c r="C22" i="197"/>
  <c r="E95" i="191"/>
  <c r="E97" i="191" s="1"/>
  <c r="C95" i="191"/>
  <c r="C97" i="191" s="1"/>
  <c r="D95" i="191"/>
  <c r="D97" i="191" s="1"/>
  <c r="G21" i="197"/>
  <c r="F10" i="195"/>
  <c r="F13" i="195" s="1"/>
  <c r="F11" i="199"/>
  <c r="C66" i="191"/>
  <c r="C69" i="191" s="1"/>
  <c r="C21" i="200"/>
  <c r="D62" i="191"/>
  <c r="D66" i="191" s="1"/>
  <c r="D69" i="191" s="1"/>
  <c r="D18" i="199"/>
  <c r="D19" i="199" s="1"/>
  <c r="D20" i="199" s="1"/>
  <c r="G8" i="199"/>
  <c r="B28" i="199"/>
  <c r="F6" i="194"/>
  <c r="F8" i="194" s="1"/>
  <c r="F9" i="194" s="1"/>
  <c r="F13" i="194"/>
  <c r="F106" i="191"/>
  <c r="F111" i="191" s="1"/>
  <c r="F114" i="191" s="1"/>
  <c r="F119" i="191" s="1"/>
  <c r="F136" i="191" s="1"/>
  <c r="B17" i="196"/>
  <c r="B155" i="201" s="1"/>
  <c r="B171" i="201" s="1"/>
  <c r="B188" i="201" s="1"/>
  <c r="C33" i="195"/>
  <c r="E137" i="191"/>
  <c r="E139" i="191" s="1"/>
  <c r="F36" i="191"/>
  <c r="F38" i="191" s="1"/>
  <c r="E41" i="191"/>
  <c r="E22" i="197" s="1"/>
  <c r="G92" i="191"/>
  <c r="G95" i="191" s="1"/>
  <c r="G97" i="191" s="1"/>
  <c r="F95" i="191"/>
  <c r="F97" i="191" s="1"/>
  <c r="G106" i="191"/>
  <c r="G34" i="191"/>
  <c r="E122" i="201" l="1"/>
  <c r="C120" i="201"/>
  <c r="B112" i="201"/>
  <c r="B113" i="201"/>
  <c r="B108" i="201"/>
  <c r="D120" i="201" s="1"/>
  <c r="F120" i="201" s="1"/>
  <c r="G120" i="201" s="1"/>
  <c r="B110" i="201"/>
  <c r="B109" i="201"/>
  <c r="B107" i="201"/>
  <c r="B111" i="201"/>
  <c r="C121" i="201"/>
  <c r="C111" i="201"/>
  <c r="C107" i="201"/>
  <c r="C108" i="201"/>
  <c r="C185" i="201" s="1"/>
  <c r="D185" i="201" s="1"/>
  <c r="E185" i="201" s="1"/>
  <c r="B187" i="201" s="1"/>
  <c r="B191" i="201" s="1"/>
  <c r="B193" i="201" s="1"/>
  <c r="E201" i="201" s="1"/>
  <c r="C17" i="202" s="1"/>
  <c r="C110" i="201"/>
  <c r="B68" i="201" s="1"/>
  <c r="D68" i="201" s="1"/>
  <c r="C109" i="201"/>
  <c r="C113" i="201"/>
  <c r="C112" i="201"/>
  <c r="F15" i="194"/>
  <c r="C13" i="200" s="1"/>
  <c r="C16" i="200" s="1"/>
  <c r="C17" i="200" s="1"/>
  <c r="E73" i="191"/>
  <c r="E9" i="199"/>
  <c r="E62" i="191"/>
  <c r="E66" i="191" s="1"/>
  <c r="E69" i="191" s="1"/>
  <c r="E18" i="199"/>
  <c r="E19" i="199" s="1"/>
  <c r="E20" i="199" s="1"/>
  <c r="F41" i="191"/>
  <c r="F137" i="191"/>
  <c r="F139" i="191" s="1"/>
  <c r="G109" i="191"/>
  <c r="G111" i="191" s="1"/>
  <c r="G114" i="191" s="1"/>
  <c r="G119" i="191" s="1"/>
  <c r="G136" i="191" s="1"/>
  <c r="G36" i="191"/>
  <c r="G11" i="199" l="1"/>
  <c r="B30" i="199" s="1"/>
  <c r="G10" i="195"/>
  <c r="C17" i="195" s="1"/>
  <c r="C20" i="195" s="1"/>
  <c r="C22" i="195" s="1"/>
  <c r="C27" i="195" s="1"/>
  <c r="B153" i="201"/>
  <c r="B154" i="201" s="1"/>
  <c r="B158" i="201" s="1"/>
  <c r="B160" i="201" s="1"/>
  <c r="E199" i="201" s="1"/>
  <c r="C15" i="202" s="1"/>
  <c r="D121" i="201"/>
  <c r="F121" i="201" s="1"/>
  <c r="G121" i="201" s="1"/>
  <c r="C129" i="201" s="1"/>
  <c r="D129" i="201" s="1"/>
  <c r="B67" i="201"/>
  <c r="D67" i="201" s="1"/>
  <c r="E120" i="201"/>
  <c r="C128" i="201"/>
  <c r="D128" i="201" s="1"/>
  <c r="E10" i="199"/>
  <c r="D39" i="199"/>
  <c r="F9" i="199"/>
  <c r="F22" i="197"/>
  <c r="F73" i="191"/>
  <c r="G13" i="195"/>
  <c r="C26" i="195" s="1"/>
  <c r="C18" i="200" s="1"/>
  <c r="C19" i="200" s="1"/>
  <c r="G137" i="191"/>
  <c r="G139" i="191" s="1"/>
  <c r="F18" i="199"/>
  <c r="F19" i="199" s="1"/>
  <c r="F20" i="199" s="1"/>
  <c r="F62" i="191"/>
  <c r="F66" i="191" s="1"/>
  <c r="F69" i="191" s="1"/>
  <c r="G38" i="191"/>
  <c r="G41" i="191" s="1"/>
  <c r="E121" i="201" l="1"/>
  <c r="B142" i="201"/>
  <c r="B141" i="201"/>
  <c r="B144" i="201"/>
  <c r="D133" i="201"/>
  <c r="B139" i="201" s="1"/>
  <c r="F10" i="199"/>
  <c r="E39" i="199"/>
  <c r="G9" i="199"/>
  <c r="F39" i="199" s="1"/>
  <c r="G22" i="197"/>
  <c r="G62" i="191"/>
  <c r="G66" i="191" s="1"/>
  <c r="G69" i="191" s="1"/>
  <c r="G18" i="199"/>
  <c r="G19" i="199" s="1"/>
  <c r="G20" i="199" s="1"/>
  <c r="C28" i="195"/>
  <c r="G73" i="191"/>
  <c r="B20" i="196"/>
  <c r="B23" i="196" s="1"/>
  <c r="B143" i="201" l="1"/>
  <c r="B140" i="201"/>
  <c r="E198" i="201"/>
  <c r="C14" i="202" s="1"/>
  <c r="C32" i="195"/>
  <c r="B170" i="201"/>
  <c r="B29" i="199"/>
  <c r="G10" i="199"/>
  <c r="B7" i="197"/>
  <c r="B11" i="197" s="1"/>
  <c r="B30" i="196"/>
  <c r="C36" i="183" l="1"/>
  <c r="B174" i="201" l="1"/>
  <c r="B176" i="201" s="1"/>
  <c r="E200" i="201" s="1"/>
  <c r="C16" i="202" s="1"/>
  <c r="C21" i="202" l="1"/>
  <c r="C20" i="202"/>
  <c r="C19" i="202"/>
  <c r="B67" i="191"/>
  <c r="C67" i="191"/>
  <c r="D67" i="191"/>
  <c r="E67" i="191"/>
  <c r="F67" i="191"/>
  <c r="G67" i="191"/>
  <c r="B74" i="191"/>
  <c r="C74" i="191"/>
  <c r="D74" i="191"/>
  <c r="E74" i="191"/>
  <c r="F74" i="191"/>
  <c r="G74" i="191"/>
  <c r="B76" i="191"/>
  <c r="C76" i="191"/>
  <c r="D76" i="191"/>
  <c r="E76" i="191"/>
  <c r="F76" i="191"/>
  <c r="G76" i="191"/>
  <c r="B99" i="191"/>
  <c r="C99" i="191"/>
  <c r="D99" i="191"/>
  <c r="E99" i="191"/>
  <c r="F99" i="191"/>
  <c r="G99" i="191"/>
  <c r="B101" i="191"/>
  <c r="C101" i="191"/>
  <c r="D101" i="191"/>
  <c r="E101" i="191"/>
  <c r="F101" i="191"/>
  <c r="G101" i="191"/>
  <c r="C17" i="193"/>
  <c r="D17" i="193"/>
  <c r="E17" i="193"/>
  <c r="F17" i="193"/>
  <c r="G17" i="193"/>
  <c r="H17" i="193"/>
  <c r="C19" i="193"/>
  <c r="D19" i="193"/>
  <c r="E19" i="193"/>
  <c r="F19" i="193"/>
  <c r="G19" i="193"/>
  <c r="H19" i="193"/>
  <c r="C35" i="195"/>
  <c r="C36" i="195"/>
  <c r="C39" i="195"/>
  <c r="B8" i="197"/>
  <c r="B10" i="197"/>
  <c r="B12" i="197"/>
  <c r="B13" i="197"/>
  <c r="B21" i="199"/>
  <c r="C21" i="199"/>
  <c r="D21" i="199"/>
  <c r="E21" i="199"/>
  <c r="F21" i="199"/>
  <c r="G21" i="199"/>
  <c r="B36" i="199"/>
  <c r="C36" i="199"/>
  <c r="D36" i="199"/>
  <c r="E36" i="199"/>
  <c r="F36" i="199"/>
  <c r="B37" i="199"/>
  <c r="C37" i="199"/>
  <c r="D37" i="199"/>
  <c r="E37" i="199"/>
  <c r="F37" i="199"/>
  <c r="B40" i="199"/>
  <c r="C40" i="199"/>
  <c r="D40" i="199"/>
  <c r="E40" i="199"/>
  <c r="F40" i="199"/>
  <c r="B41" i="199"/>
  <c r="C41" i="199"/>
  <c r="D41" i="199"/>
  <c r="E41" i="199"/>
  <c r="F41" i="199"/>
  <c r="C4" i="200"/>
  <c r="C23" i="200"/>
  <c r="C24" i="200"/>
  <c r="C26" i="200"/>
  <c r="C37" i="183"/>
  <c r="C39" i="183"/>
  <c r="C40" i="183"/>
</calcChain>
</file>

<file path=xl/sharedStrings.xml><?xml version="1.0" encoding="utf-8"?>
<sst xmlns="http://schemas.openxmlformats.org/spreadsheetml/2006/main" count="1265" uniqueCount="767">
  <si>
    <t>EBIT</t>
  </si>
  <si>
    <t>ROA</t>
  </si>
  <si>
    <t>ROE</t>
  </si>
  <si>
    <t>EBIT %</t>
  </si>
  <si>
    <t>GP% automotive</t>
  </si>
  <si>
    <t>GP% energy generation and automotive</t>
  </si>
  <si>
    <t>GP% services and other</t>
  </si>
  <si>
    <t>Overall GP%</t>
  </si>
  <si>
    <t>Net loss %</t>
  </si>
  <si>
    <t>KPIs</t>
  </si>
  <si>
    <t>Currency</t>
  </si>
  <si>
    <t>Revenue % automotive y-o-y</t>
  </si>
  <si>
    <t>Revenue % generation y-o-y</t>
  </si>
  <si>
    <t>Revenue % services y-o-y</t>
  </si>
  <si>
    <t>RELIANCE INDUSTRIES LIMITED</t>
  </si>
  <si>
    <t>PROFIT &amp; LOSS STATEMENT (CONSOLIDATED)</t>
  </si>
  <si>
    <t>Line Item</t>
  </si>
  <si>
    <t>FY 2021-22</t>
  </si>
  <si>
    <t>FY 2022-23</t>
  </si>
  <si>
    <t>FY 2023-24</t>
  </si>
  <si>
    <t>FY 2024-25</t>
  </si>
  <si>
    <t>Notes</t>
  </si>
  <si>
    <t>FY 2025-26</t>
  </si>
  <si>
    <t>Oil-to-Chemicals (O2C) EBITDA</t>
  </si>
  <si>
    <t>PROFIT &amp; LOSS STATEMENT (SEGMENT WISE)</t>
  </si>
  <si>
    <t xml:space="preserve"> Revenue (Value of Sales &amp; Services)</t>
  </si>
  <si>
    <t xml:space="preserve"> EBITDA</t>
  </si>
  <si>
    <t xml:space="preserve"> EBITDA Margin %</t>
  </si>
  <si>
    <t xml:space="preserve"> EBIT Margin %</t>
  </si>
  <si>
    <t xml:space="preserve"> Production Meant for Sale MMT</t>
  </si>
  <si>
    <t xml:space="preserve"> Refinery Throughput MMT</t>
  </si>
  <si>
    <t xml:space="preserve"> Gross Refining Margin (GRM) $/bbl</t>
  </si>
  <si>
    <t xml:space="preserve"> Refining Utilisation %</t>
  </si>
  <si>
    <t xml:space="preserve"> Segment Result (EBIT) - Reported</t>
  </si>
  <si>
    <t xml:space="preserve"> Depreciation - Reported</t>
  </si>
  <si>
    <t>Digital Services</t>
  </si>
  <si>
    <t>EBITDA Margin %</t>
  </si>
  <si>
    <t>EBIT Margin %</t>
  </si>
  <si>
    <t>Data Traffic Bn GB</t>
  </si>
  <si>
    <t>ARPU /month</t>
  </si>
  <si>
    <t xml:space="preserve">Revenue (Value of Sales &amp; Services) </t>
  </si>
  <si>
    <t xml:space="preserve">Revenue from Operations  </t>
  </si>
  <si>
    <t xml:space="preserve">EBITDA  </t>
  </si>
  <si>
    <t xml:space="preserve">Segment EBIT  </t>
  </si>
  <si>
    <t xml:space="preserve">Capital Expenditure  </t>
  </si>
  <si>
    <t>Depreciation  - Reported</t>
  </si>
  <si>
    <t xml:space="preserve">Reliance Retail </t>
  </si>
  <si>
    <t xml:space="preserve">Oil-to-Chemical (O2C) Segment </t>
  </si>
  <si>
    <t>Revenue from Operations</t>
  </si>
  <si>
    <t>EBITDA</t>
  </si>
  <si>
    <t>Segment EBIT</t>
  </si>
  <si>
    <t>Capital Expenditure</t>
  </si>
  <si>
    <t>Total Operational Stores</t>
  </si>
  <si>
    <t>Revenue (Value of Sales &amp; Services)</t>
  </si>
  <si>
    <t>Registered Customer Base in Mn</t>
  </si>
  <si>
    <t>Annual Footfalls in Mn</t>
  </si>
  <si>
    <t xml:space="preserve"> Capital Expenditure  </t>
  </si>
  <si>
    <t xml:space="preserve">Oil &amp; Gas </t>
  </si>
  <si>
    <t>KG-D6 Gas Production (MMSCMD)</t>
  </si>
  <si>
    <t>KG-D6 Gas Price Realised ($/mmbtu)</t>
  </si>
  <si>
    <t>CBM Gas Price Realised ($/mmbtu)</t>
  </si>
  <si>
    <t>(₹ in Crore)</t>
  </si>
  <si>
    <t>Subscriber Base (Million)</t>
  </si>
  <si>
    <t>Consolidated Line Item</t>
  </si>
  <si>
    <t>Other Income</t>
  </si>
  <si>
    <t>Total Income</t>
  </si>
  <si>
    <t>Raw Material Cost</t>
  </si>
  <si>
    <t>Purchase of Stock-in-Trade</t>
  </si>
  <si>
    <t>Employee Benefit Expense</t>
  </si>
  <si>
    <t>Other Operating Expenses</t>
  </si>
  <si>
    <t>Depreciation &amp; Amortisation</t>
  </si>
  <si>
    <t>Financial Cost</t>
  </si>
  <si>
    <t>Share of Profit/(Loss) of JVs &amp; Associates</t>
  </si>
  <si>
    <t>Profit Before Tax (PBT)</t>
  </si>
  <si>
    <t>Tax Expense</t>
  </si>
  <si>
    <t>Profit After Tax (PAT)</t>
  </si>
  <si>
    <t>Basic EPS (₹)</t>
  </si>
  <si>
    <t>Diluted EPS (₹)</t>
  </si>
  <si>
    <t>PAT Margin %</t>
  </si>
  <si>
    <t>Total Debt</t>
  </si>
  <si>
    <t>Profit Attributable to Owners (PAT Final)</t>
  </si>
  <si>
    <t>BALANCE SHEET (CONSOLIDATED)</t>
  </si>
  <si>
    <t>ASSETS</t>
  </si>
  <si>
    <t>Total Non-Current Assets</t>
  </si>
  <si>
    <t>Inventories</t>
  </si>
  <si>
    <t>Trade Receivables</t>
  </si>
  <si>
    <t>Other Current Assets</t>
  </si>
  <si>
    <t>Total Current Assets</t>
  </si>
  <si>
    <t>NON-CURRENT ASSETS</t>
  </si>
  <si>
    <t>Property, Plant &amp; Equipment ₹ Crore</t>
  </si>
  <si>
    <t>Capital Work-in-Progress ₹ Crore</t>
  </si>
  <si>
    <t>Spectrum &amp; Related Assets ₹ Crore</t>
  </si>
  <si>
    <t>Goodwill &amp; Intangible Assets ₹ Crore</t>
  </si>
  <si>
    <t>Non-Current Investments ₹ Crore</t>
  </si>
  <si>
    <t>Loans &amp; Other Financial Assets ₹ Crore</t>
  </si>
  <si>
    <t>Deferred Tax Assets (Net) ₹ Crore</t>
  </si>
  <si>
    <t>Other Non-Current Assets ₹ Crore</t>
  </si>
  <si>
    <t>TOTAL NON-CURRENT ASSETS ₹ Crore</t>
  </si>
  <si>
    <t>CURRENT ASSETS</t>
  </si>
  <si>
    <t>Inventories ₹ Crore</t>
  </si>
  <si>
    <t>Current Investments ₹ Crore</t>
  </si>
  <si>
    <t>Trade Receivables ₹ Crore</t>
  </si>
  <si>
    <t>Cash &amp; Cash Equivalents ₹ Crore</t>
  </si>
  <si>
    <t>Current Loans &amp; Financial Assets ₹ Crore</t>
  </si>
  <si>
    <t>Other Current Assets ₹ Crore</t>
  </si>
  <si>
    <t>TOTAL CURRENT ASSETS ₹ Crore</t>
  </si>
  <si>
    <t>TOTAL ASSETS ₹ Crore</t>
  </si>
  <si>
    <t>EQUITY</t>
  </si>
  <si>
    <t>Equity Share Capital ₹ Crore</t>
  </si>
  <si>
    <t>Other Equity ₹ Crore</t>
  </si>
  <si>
    <t>Non-Controlling Interest ₹ Crore</t>
  </si>
  <si>
    <t>TOTAL EQUITY ₹ Crore</t>
  </si>
  <si>
    <t>NON-CURRENT LIABILITIES</t>
  </si>
  <si>
    <t>Long-Term Borrowings ₹ Crore</t>
  </si>
  <si>
    <t>Lease Liabilities ₹ Crore</t>
  </si>
  <si>
    <t>Deferred Payment Liabilities ₹ Crore</t>
  </si>
  <si>
    <t>Deferred Tax Liabilities (Net) ₹ Crore</t>
  </si>
  <si>
    <t>Other Non-Current Liabilities ₹ Crore</t>
  </si>
  <si>
    <t>TOTAL NON-CURRENT LIABILITIES ₹ Crore</t>
  </si>
  <si>
    <t>CURRENT LIABILITIES</t>
  </si>
  <si>
    <t>Short-Term Borrowings ₹ Crore</t>
  </si>
  <si>
    <t>Current Lease Liabilities ₹ Crore</t>
  </si>
  <si>
    <t>Trade Payables ₹ Crore</t>
  </si>
  <si>
    <t>Other Current Financial Liabilities ₹ Crore</t>
  </si>
  <si>
    <t>Other Current Liabilities ₹ Crore</t>
  </si>
  <si>
    <t>Current Provisions ₹ Crore</t>
  </si>
  <si>
    <t>TOTAL CURRENT LIABILITIES ₹ Crore</t>
  </si>
  <si>
    <t>TOTAL LIABILITIES ₹ Crore</t>
  </si>
  <si>
    <t>EQUITIES AND LIABILITIES</t>
  </si>
  <si>
    <t>TOTAL EQUITY AND LIABILITIES ₹ Crore</t>
  </si>
  <si>
    <t>CASH FLOW (CONSOLIDATED)</t>
  </si>
  <si>
    <t>Particular Units</t>
  </si>
  <si>
    <t>Debt Raised / (Repaid) ₹ Crore</t>
  </si>
  <si>
    <t>Dividends Paid ₹ Crore</t>
  </si>
  <si>
    <t>Net Increase in Cash &amp; Cash Equiv. (A+B+C)</t>
  </si>
  <si>
    <t>Operating Cash Flow (CFO) ₹ Crore (A)</t>
  </si>
  <si>
    <t xml:space="preserve">Financing Cash Flow (Calculated) ₹ Crore - (C) </t>
  </si>
  <si>
    <t>(+) Opening Balance of Cash &amp; Cash Equiv.</t>
  </si>
  <si>
    <t>(+) Opening Balance of Cash &amp; Cash Equiv.  ₹ Crore</t>
  </si>
  <si>
    <t>(=) Closing Balance of Cash &amp; Cash Equiv.</t>
  </si>
  <si>
    <t>(=) Closing Balance of Cash &amp; Cash Equiv.  ₹ Crore</t>
  </si>
  <si>
    <t>Capital Expenditure (CAPEX) ₹ Crore {PPE + Spectrum + Intangibles}</t>
  </si>
  <si>
    <t xml:space="preserve">Net Invested Cash Flow - (B) </t>
  </si>
  <si>
    <t xml:space="preserve">Other Investing Activities </t>
  </si>
  <si>
    <t>CALCULATED RATIOS (CONSOLIDATED &amp; SEGMENT WISE )</t>
  </si>
  <si>
    <t>Revenue Growth %</t>
  </si>
  <si>
    <t>-</t>
  </si>
  <si>
    <t>EBITDA Growth %</t>
  </si>
  <si>
    <t>PAT Growth %</t>
  </si>
  <si>
    <t xml:space="preserve">EPS Growth % </t>
  </si>
  <si>
    <t>NM</t>
  </si>
  <si>
    <t>Profitability Margins</t>
  </si>
  <si>
    <t>Return Ratios</t>
  </si>
  <si>
    <t>ROE %</t>
  </si>
  <si>
    <t>Calculated ROCE %</t>
  </si>
  <si>
    <t>ROA %</t>
  </si>
  <si>
    <t>Cash and Cash Equivalent</t>
  </si>
  <si>
    <t xml:space="preserve">Net Debt </t>
  </si>
  <si>
    <t>Debt/EBITDA</t>
  </si>
  <si>
    <t>Net Debt/EBITDA</t>
  </si>
  <si>
    <t>Interest Coverage Ratio</t>
  </si>
  <si>
    <t>Growth Analysis (₹ Crore)</t>
  </si>
  <si>
    <t>Leverage Ratios (₹ Crore)</t>
  </si>
  <si>
    <t>Working Capital Analysis (₹ Crore)</t>
  </si>
  <si>
    <t>Inventories Days</t>
  </si>
  <si>
    <t>Receivable Days</t>
  </si>
  <si>
    <t>Payable Days</t>
  </si>
  <si>
    <t>Cash Conversion Cycle (CCC)</t>
  </si>
  <si>
    <t>Net Working Capital (NWC)</t>
  </si>
  <si>
    <t>Working Capital/ Revenue %</t>
  </si>
  <si>
    <t>Cash Flow Analysis (₹ Crore)</t>
  </si>
  <si>
    <t>Free Cash Flow (FCF)</t>
  </si>
  <si>
    <t>FCF Margin %</t>
  </si>
  <si>
    <t>CFO / EBITDA %</t>
  </si>
  <si>
    <t>CAPEX / Revenue %</t>
  </si>
  <si>
    <t>FCF Conversion %</t>
  </si>
  <si>
    <t>Segment Mix Analysis</t>
  </si>
  <si>
    <t>Segment Revenue Contribution %</t>
  </si>
  <si>
    <t>Oil-to-Chemicals (O2C) %</t>
  </si>
  <si>
    <t>Digital Services (Jio) %</t>
  </si>
  <si>
    <t>Organised Retail %</t>
  </si>
  <si>
    <t>Oil &amp; Gas (E&amp;P) %</t>
  </si>
  <si>
    <t>Segment EBITDA Contribution %</t>
  </si>
  <si>
    <t>Methodology</t>
  </si>
  <si>
    <t>Segment</t>
  </si>
  <si>
    <t>O2C</t>
  </si>
  <si>
    <t>Recommendation</t>
  </si>
  <si>
    <t xml:space="preserve">Raman Singh </t>
  </si>
  <si>
    <t>Forecast Period</t>
  </si>
  <si>
    <t>FY 2026-27 to FY 2030-31</t>
  </si>
  <si>
    <t>Report Date</t>
  </si>
  <si>
    <t>MODEL OVERVIEW &amp; KEY ASSUMPTIONS</t>
  </si>
  <si>
    <t>Valuation Approach</t>
  </si>
  <si>
    <t>Terminal Growth Rate</t>
  </si>
  <si>
    <t>Key Assumptions</t>
  </si>
  <si>
    <t>Risk Free Rate</t>
  </si>
  <si>
    <t>Equity Risk Premium</t>
  </si>
  <si>
    <t>Tax Rate</t>
  </si>
  <si>
    <t>Terminal Value Methodology</t>
  </si>
  <si>
    <t>Shares Outstanding</t>
  </si>
  <si>
    <t>Gordon Growth</t>
  </si>
  <si>
    <t>Market risk premium for India</t>
  </si>
  <si>
    <t>Effective Tax Rate</t>
  </si>
  <si>
    <t>1,353.25 Cr</t>
  </si>
  <si>
    <t xml:space="preserve">RELIANCE INDUSTRIES LIMITED </t>
  </si>
  <si>
    <t>Segment Metrics &amp; Operational Drivers</t>
  </si>
  <si>
    <t>Unit(s)</t>
  </si>
  <si>
    <t>FY 2026-27</t>
  </si>
  <si>
    <t>FY 2027-28</t>
  </si>
  <si>
    <t>FY 2028-29</t>
  </si>
  <si>
    <t>FY 2029-30</t>
  </si>
  <si>
    <t>FY 2030-31</t>
  </si>
  <si>
    <t>Corporate Assumptions</t>
  </si>
  <si>
    <t>Tax Rate %</t>
  </si>
  <si>
    <t>WACC %</t>
  </si>
  <si>
    <t>Oil-to-Chemicals (O2C)</t>
  </si>
  <si>
    <t>%</t>
  </si>
  <si>
    <t xml:space="preserve">Digital Services (Jio) </t>
  </si>
  <si>
    <t xml:space="preserve">Tax Rate </t>
  </si>
  <si>
    <t xml:space="preserve">WACC </t>
  </si>
  <si>
    <t xml:space="preserve">Revenue Growth </t>
  </si>
  <si>
    <t xml:space="preserve">EBIT Margin </t>
  </si>
  <si>
    <t xml:space="preserve">CAPEX / Revenue </t>
  </si>
  <si>
    <t>Reliance Retail</t>
  </si>
  <si>
    <t>Count</t>
  </si>
  <si>
    <t>KG-D6 Gas Production Growth</t>
  </si>
  <si>
    <t>Capital Allocation and Leverage</t>
  </si>
  <si>
    <t>Total Group Capital Expenditure Growth</t>
  </si>
  <si>
    <t>Average Cost of Outstanding Debt</t>
  </si>
  <si>
    <t xml:space="preserve"> Revenue Growth %</t>
  </si>
  <si>
    <t>$/bbl</t>
  </si>
  <si>
    <t>Subscriber base is approaching maturity; future growth driven mainly by ARPU increases, enterprise services, and 5G monetisation rather than rapid subscriber additions</t>
  </si>
  <si>
    <t>Operating leverage from network utilisation, 5G monetisation, and higher data consumption</t>
  </si>
  <si>
    <t>Peak 5G rollout phase completed; future spending shifts from expansion to maintenance</t>
  </si>
  <si>
    <t>India's telecom market is mature; incremental subscriber additions moderate as penetration increases</t>
  </si>
  <si>
    <t>Tariff hikes expected but normalize after recent price increases</t>
  </si>
  <si>
    <t>Normalized effective tax rate based on historical average; maintained constant for forecast period</t>
  </si>
  <si>
    <t>Long-term weighted average cost of capital assumption reflecting Reliance's diversified business mix and risk profile</t>
  </si>
  <si>
    <t>Long-term nominal growth assumption reflecting mature business growth plus inflation</t>
  </si>
  <si>
    <t>Based on historical normalized growth trend; mature refining and petrochemical segment with limited volume expansion</t>
  </si>
  <si>
    <t>Normalized historical EBITDA margin excluding commodity peak years; assumes mid-cycle profitability</t>
  </si>
  <si>
    <t>Derived from normalized EBITDA margin after depreciation assumptions</t>
  </si>
  <si>
    <t>Historical average Gross Refining Margin used as normalized mid-cycle assumption</t>
  </si>
  <si>
    <t>Maintenance and efficiency improvement CAPEX based on normalized historical CAPEX intensity</t>
  </si>
  <si>
    <t>Store expansion + rising consumption; gradual moderation as base increases</t>
  </si>
  <si>
    <t>Operating leverage from scale and supply-chain efficiencies</t>
  </si>
  <si>
    <t>Lower intensity after aggressive store rollout</t>
  </si>
  <si>
    <t>Expansion continues but slows as network becomes larger</t>
  </si>
  <si>
    <t>Mature KG-D6 field decline profile</t>
  </si>
  <si>
    <t>Moderate inflation-linked increase</t>
  </si>
  <si>
    <t>Stable gas prices with gradual production decline</t>
  </si>
  <si>
    <t>Maintained due to low-cost upstream operations</t>
  </si>
  <si>
    <t>Sustaining investment for field development</t>
  </si>
  <si>
    <t>Stable borrowing cost reflecting strong balance sheet and credit rating</t>
  </si>
  <si>
    <t>THREE STATEMENT PROJECTIONS</t>
  </si>
  <si>
    <t>Projected Line Item</t>
  </si>
  <si>
    <t>Projected P&amp;L</t>
  </si>
  <si>
    <t>FY 2025-26 (Act)</t>
  </si>
  <si>
    <t>FY 2026-27 (Proj)</t>
  </si>
  <si>
    <t>FY 2027-28 (Proj)</t>
  </si>
  <si>
    <t>FY 2028-29 (Proj)</t>
  </si>
  <si>
    <t>FY 2029-30 (Proj)</t>
  </si>
  <si>
    <t>FY 2030-31 (Proj)</t>
  </si>
  <si>
    <t>SEGMENT REVENUE BUILDUP</t>
  </si>
  <si>
    <t>Oil-to-Chemicals (O2C) Revenue</t>
  </si>
  <si>
    <t>Digital Services (Jio) Revenue</t>
  </si>
  <si>
    <t>Organised Retail Revenue</t>
  </si>
  <si>
    <t>Oil &amp; Gas (E&amp;P) Revenue</t>
  </si>
  <si>
    <t>Other Operations &amp; Adjustments</t>
  </si>
  <si>
    <t>Total Revenue</t>
  </si>
  <si>
    <t>SEGMENT EBITDA BUILDUP</t>
  </si>
  <si>
    <t>Digital Services (Jio) EBITDA</t>
  </si>
  <si>
    <t>Organised Retail EBITDA</t>
  </si>
  <si>
    <t>Oil &amp; Gas (E&amp;P) EBITDA</t>
  </si>
  <si>
    <t>Total EBITDA</t>
  </si>
  <si>
    <t>Other Operations &amp; Adjustments EBITDA</t>
  </si>
  <si>
    <t>GROUP P&amp;L ROLLUP</t>
  </si>
  <si>
    <t>Consolidated Group EBITDA</t>
  </si>
  <si>
    <t>(-) Depreciation &amp; Amortisation</t>
  </si>
  <si>
    <t>Consolidated EBIT</t>
  </si>
  <si>
    <t>(-) Finance Cost (Interest Expense)</t>
  </si>
  <si>
    <t>(+) Other Income</t>
  </si>
  <si>
    <t>(-) Tax Expense</t>
  </si>
  <si>
    <t>(-) Non-Controlling Interest (NCI)</t>
  </si>
  <si>
    <t>PAT Final (Attributable to Owners)</t>
  </si>
  <si>
    <t>Projected Balance Sheet</t>
  </si>
  <si>
    <t>ASSETS NON-CURRENT</t>
  </si>
  <si>
    <t>Property, Plant and Equipment</t>
  </si>
  <si>
    <t>Capital Work in Progress</t>
  </si>
  <si>
    <t>Spectrum &amp; Related Assets</t>
  </si>
  <si>
    <t>Goodwill &amp; Intangible Assets</t>
  </si>
  <si>
    <t>Non-Current Investments</t>
  </si>
  <si>
    <t>Loans &amp; Other Financial Assets</t>
  </si>
  <si>
    <t>ASSETS CURRENT</t>
  </si>
  <si>
    <t>Current Loans &amp; Other Financial asset</t>
  </si>
  <si>
    <t>Equity Share Capital</t>
  </si>
  <si>
    <t>Other Equity</t>
  </si>
  <si>
    <t>Non-Controlling Interest</t>
  </si>
  <si>
    <t>Total Equity</t>
  </si>
  <si>
    <t>Long-term Borrowings</t>
  </si>
  <si>
    <t>Lease Liabilities</t>
  </si>
  <si>
    <t>Deferred Payment Liabilities</t>
  </si>
  <si>
    <t>Deferred Tax Liabilities (Net)</t>
  </si>
  <si>
    <t>Other Non-Current Liabilities</t>
  </si>
  <si>
    <t>Total Non-Current Liabilities</t>
  </si>
  <si>
    <t>Short-term Borrowings</t>
  </si>
  <si>
    <t>Current Lease Liabilities</t>
  </si>
  <si>
    <t>Trade Payable</t>
  </si>
  <si>
    <t>Other Current Financial Liabilities</t>
  </si>
  <si>
    <t>Other Current Liabilities</t>
  </si>
  <si>
    <t>Other Current Provisions</t>
  </si>
  <si>
    <t>Total Current Liabilities</t>
  </si>
  <si>
    <t>Total Liabilities</t>
  </si>
  <si>
    <t>Total Equities &amp; Liabilities</t>
  </si>
  <si>
    <t>Projected Cash Flow Statement</t>
  </si>
  <si>
    <t>CASH FLOW FROM OPERATING ACTIVITIES</t>
  </si>
  <si>
    <t>Net Profit Before Tax (PBT)</t>
  </si>
  <si>
    <t>(+) Depreciation &amp; Amortisation</t>
  </si>
  <si>
    <t>(+) Finance Costs</t>
  </si>
  <si>
    <t>(-) Tax Paid</t>
  </si>
  <si>
    <t>Operating Profit Before Working Capital Changes</t>
  </si>
  <si>
    <t>WORKING CAPITAL ADJUSTMENT</t>
  </si>
  <si>
    <t>(-/+) Increase / Decrease in Inventories</t>
  </si>
  <si>
    <t>(-/+) Increase / Decrease in Trade Receivables</t>
  </si>
  <si>
    <t>(+/-) Increase / Decrease in Trade Payables</t>
  </si>
  <si>
    <t>Net Cash Flow from Operating Activities (A)</t>
  </si>
  <si>
    <t xml:space="preserve">CASH FLOW FROM OPERATING ACTIVITIES </t>
  </si>
  <si>
    <t>(-) Outflow for Fixed Assets (CAPEX / PPE Additions)</t>
  </si>
  <si>
    <t>(-/+) Net Additions to Capital Work-in-Progress (CWIP)</t>
  </si>
  <si>
    <t>Net Cash Flow from Investing Activities (B)</t>
  </si>
  <si>
    <t xml:space="preserve">CASH FLOW FROM FINANCING ACTIVITIES </t>
  </si>
  <si>
    <t>(-/+) Net Repayment of Long-Term Borrowings</t>
  </si>
  <si>
    <t>(-) Repayment of Deferred Payment (Spectrum) Liab.</t>
  </si>
  <si>
    <t>-) Finance Costs (Interest Paid Out)</t>
  </si>
  <si>
    <t>(-) Dividends Paid (Equity Shareholders)</t>
  </si>
  <si>
    <t>Net Cash Flow from Financing Activities (C)</t>
  </si>
  <si>
    <t>NET CASH MOVEMENT</t>
  </si>
  <si>
    <t>Net Increase / (Decrease) in Cash (A+B+C)</t>
  </si>
  <si>
    <t>PROPERTY, PLANT &amp; EQUIPMENT SCHEDULE (₹ Crore)</t>
  </si>
  <si>
    <t>Opening PP&amp;E</t>
  </si>
  <si>
    <t>Depreciation</t>
  </si>
  <si>
    <t>Closing PP&amp;E</t>
  </si>
  <si>
    <t>WORKING CAPITAL SCHEDULE</t>
  </si>
  <si>
    <t>NCI SCHEDULE</t>
  </si>
  <si>
    <t>Opening NCI</t>
  </si>
  <si>
    <t>+ Share of PAT to NCI</t>
  </si>
  <si>
    <t xml:space="preserve">Closing NCI </t>
  </si>
  <si>
    <t>(+) Capitalisation from CWIP</t>
  </si>
  <si>
    <t>Other Assets Adjustment</t>
  </si>
  <si>
    <t>Balancing adjustment reflects unmodelled consolidation items and other comprehensive income movements. Forecast impact is immaterial (&lt;0.5% of total assets).</t>
  </si>
  <si>
    <t>Total Assets (Before Adjustments)</t>
  </si>
  <si>
    <t>Check (Total Equity &amp; Liabilities - Adjusted total assets)</t>
  </si>
  <si>
    <t>FREE CASH FLOW SCHEDULE</t>
  </si>
  <si>
    <t>EBIT (Operating Profit)</t>
  </si>
  <si>
    <t>Tax on EBIT</t>
  </si>
  <si>
    <t>NOPAT</t>
  </si>
  <si>
    <t>(-) Capital Expenditure (CAPEX)</t>
  </si>
  <si>
    <t>(-) Increase in Net Working Capital</t>
  </si>
  <si>
    <t>Free Cash Flow to Firm (FCFF)</t>
  </si>
  <si>
    <t>Projection Year (t)</t>
  </si>
  <si>
    <t>Free Cash Flow (FCFF)</t>
  </si>
  <si>
    <t>WACC</t>
  </si>
  <si>
    <t>Discount Factor (@10.50%)</t>
  </si>
  <si>
    <t>Present Value (PV) of FCF</t>
  </si>
  <si>
    <t>Terminal Value</t>
  </si>
  <si>
    <t>Particular</t>
  </si>
  <si>
    <t>Amount</t>
  </si>
  <si>
    <t>FY31 FCFF</t>
  </si>
  <si>
    <t>Present Value of Terminal Value</t>
  </si>
  <si>
    <t>FY2030-31 FCFF</t>
  </si>
  <si>
    <t>Discount Factor (FY2030-31)</t>
  </si>
  <si>
    <t>PV of Explicit FCFF</t>
  </si>
  <si>
    <t>Enterprise Value</t>
  </si>
  <si>
    <t>(+) Cash &amp; Cash Equivalents</t>
  </si>
  <si>
    <t>(-) Total Debt</t>
  </si>
  <si>
    <t>(-) Non-Controlling Interest</t>
  </si>
  <si>
    <t>Equity Value</t>
  </si>
  <si>
    <t>Shares Outstanding (Crore)</t>
  </si>
  <si>
    <t>Implied Share Price</t>
  </si>
  <si>
    <t>FY2026-27 EBITDA (₹ Cr)</t>
  </si>
  <si>
    <t>EV/EBITDA Multiple</t>
  </si>
  <si>
    <t>Enterprise Value (₹ Cr)</t>
  </si>
  <si>
    <t>Digital Services (Jio)</t>
  </si>
  <si>
    <t>Oil &amp; Gas (E&amp;P)</t>
  </si>
  <si>
    <t>Other Businesses &amp; Corporate</t>
  </si>
  <si>
    <t>Total Enterprise Value</t>
  </si>
  <si>
    <t xml:space="preserve">Amount </t>
  </si>
  <si>
    <t>Shares Outstanding (Cr)</t>
  </si>
  <si>
    <t>Valuation Summary &amp; Investment Thesis</t>
  </si>
  <si>
    <t>MASTER INVESTOR BRIEFCASE</t>
  </si>
  <si>
    <t>Valuation Metric</t>
  </si>
  <si>
    <t>Output Cell</t>
  </si>
  <si>
    <t>SOTP Intrinsic Target Price</t>
  </si>
  <si>
    <t>DCF Intrinsic Target Price</t>
  </si>
  <si>
    <t>RECOMMENDATION</t>
  </si>
  <si>
    <t>CONSOLIDATED OPERATION &amp; METRIC FORWARD TRACK</t>
  </si>
  <si>
    <t>Key Group Health Performance Metric</t>
  </si>
  <si>
    <t>Revenue from Operations (₹ Cr)</t>
  </si>
  <si>
    <t>EBITDA (₹ Cr)</t>
  </si>
  <si>
    <t>EBITDA Margin (%)</t>
  </si>
  <si>
    <t>PAT (Attributable to Owners) (₹ Cr)</t>
  </si>
  <si>
    <t>STRATEGIC COMPONENT BREAKDOWN (SOTP CONTRIBUTION)</t>
  </si>
  <si>
    <t>Business Vertical</t>
  </si>
  <si>
    <t>Enterprise Value Contribution</t>
  </si>
  <si>
    <t>% of Corporate Value</t>
  </si>
  <si>
    <t>SCENARIO ANALYSIS DASHBOARD</t>
  </si>
  <si>
    <t>Bear Case (Switch = 3)</t>
  </si>
  <si>
    <t>Base Case (Switch = 2)</t>
  </si>
  <si>
    <t>Bull Case (Switch = 1)</t>
  </si>
  <si>
    <t>Scenario-Based Valuation Dashboard</t>
  </si>
  <si>
    <t>Master Scenario Switch ID:</t>
  </si>
  <si>
    <t>WACC (Active Dynamic Target)</t>
  </si>
  <si>
    <t>├── Bull Case Scenario</t>
  </si>
  <si>
    <t>├── Base Case Scenario</t>
  </si>
  <si>
    <t>├── Bear Case Scenario</t>
  </si>
  <si>
    <t>Terminal Growth Rate (Active)</t>
  </si>
  <si>
    <t>GRM Assumption ($/bbl) (Active)</t>
  </si>
  <si>
    <t>Subscriber Growth (Active)</t>
  </si>
  <si>
    <t>ARPU Growth (Active)</t>
  </si>
  <si>
    <t>New Store Additions (Active)</t>
  </si>
  <si>
    <t>KG-D6 Realised Gas Price Delta (Active)</t>
  </si>
  <si>
    <t>Revenue Growth  (Active)</t>
  </si>
  <si>
    <t>EBITDA Margin  (Active)</t>
  </si>
  <si>
    <t>FORECAST ASSUMPTIONS &amp; DRIVERS (SCENERIO ENGINE)</t>
  </si>
  <si>
    <t>CAPEX / Revenue (Active)</t>
  </si>
  <si>
    <t>EBITDA Margin (Active)</t>
  </si>
  <si>
    <t>Revenue Growth (Active)</t>
  </si>
  <si>
    <t>DCF Target Price</t>
  </si>
  <si>
    <t>SOTP Target Price</t>
  </si>
  <si>
    <t>Current NSE Price (₹)</t>
  </si>
  <si>
    <t>Implied Upside / (Downside)</t>
  </si>
  <si>
    <t>Metric</t>
  </si>
  <si>
    <t>FINANCIAL PERFORMANCE</t>
  </si>
  <si>
    <t>EBITDA Margin</t>
  </si>
  <si>
    <t>PAT (Attributable)</t>
  </si>
  <si>
    <t>PAT Margin</t>
  </si>
  <si>
    <t>FCFF</t>
  </si>
  <si>
    <t xml:space="preserve">BALANCE SHEET STRENGTH </t>
  </si>
  <si>
    <t>Cash &amp; Equivalents</t>
  </si>
  <si>
    <t>Net Debt</t>
  </si>
  <si>
    <t>Net Debt / EBITDA</t>
  </si>
  <si>
    <t xml:space="preserve">GROWTH SUMMARY </t>
  </si>
  <si>
    <t>CAGR FY26-31</t>
  </si>
  <si>
    <t>Revenue CAGR</t>
  </si>
  <si>
    <t>EBITDA CAGR</t>
  </si>
  <si>
    <t>FCFF CAGR</t>
  </si>
  <si>
    <t>PAT CAGR</t>
  </si>
  <si>
    <t>RETURN METRICS</t>
  </si>
  <si>
    <t>ROE (PAT / Average Equity)</t>
  </si>
  <si>
    <t>SEGMENT EBITDA CONTRIBUTION</t>
  </si>
  <si>
    <t>FY2026-27 EBITDA</t>
  </si>
  <si>
    <t xml:space="preserve">% Contribution </t>
  </si>
  <si>
    <t>ROCE (EBIT / Average Capital Employed)</t>
  </si>
  <si>
    <t>WACC vs Terminal Growth Rate Sensitivity</t>
  </si>
  <si>
    <t>DCF SENSITIVITY ANALYSIS</t>
  </si>
  <si>
    <t xml:space="preserve">Item </t>
  </si>
  <si>
    <t>Values</t>
  </si>
  <si>
    <t>Terminal Growth</t>
  </si>
  <si>
    <t>PV Terminal Value</t>
  </si>
  <si>
    <t>PV Explicit FCFF</t>
  </si>
  <si>
    <t>Share Price</t>
  </si>
  <si>
    <t>NCI</t>
  </si>
  <si>
    <t xml:space="preserve">Cash % Cash Equivalent </t>
  </si>
  <si>
    <t>SOTP SENSITIVITY ANALYSIS</t>
  </si>
  <si>
    <t>Jio EV/EBITDA vs Retail EV/EBITDA</t>
  </si>
  <si>
    <t>Prepared By</t>
  </si>
  <si>
    <t>Reliance Industries Ltd.</t>
  </si>
  <si>
    <t>INR (₹)</t>
  </si>
  <si>
    <t xml:space="preserve">Analyst </t>
  </si>
  <si>
    <t xml:space="preserve">Company </t>
  </si>
  <si>
    <t>Valuation Framework</t>
  </si>
  <si>
    <t>Description</t>
  </si>
  <si>
    <t>Primary Valuation</t>
  </si>
  <si>
    <t>Secondary Valuation</t>
  </si>
  <si>
    <t>Supporting Analysis</t>
  </si>
  <si>
    <t>Market Benchmarking</t>
  </si>
  <si>
    <t>Risk Assessment</t>
  </si>
  <si>
    <t xml:space="preserve">Sum-of-the-parts (SOTP) Valuation </t>
  </si>
  <si>
    <t>Discounted Cash Flow (DCF)</t>
  </si>
  <si>
    <t>Segment-wise DCF Analysis</t>
  </si>
  <si>
    <t>Relative Valuation (EV/EBITDA, P/E)</t>
  </si>
  <si>
    <t>Sensitivity &amp; Scenario Analysis</t>
  </si>
  <si>
    <t>Analysis Period</t>
  </si>
  <si>
    <t xml:space="preserve">Period </t>
  </si>
  <si>
    <t>Timeline</t>
  </si>
  <si>
    <t>Historical Financials</t>
  </si>
  <si>
    <t>FY2021-22 to FY2025-26</t>
  </si>
  <si>
    <t xml:space="preserve">Forecast Period </t>
  </si>
  <si>
    <t>FY2026-27E to FY2030-31E</t>
  </si>
  <si>
    <t>Valuation Summary</t>
  </si>
  <si>
    <t>Year 1 incorporates the historical 7.24% capex growth rate to reflect near-term infrastructure commitments. Years 2 through 5 utilize a structural taper to transition the asset base into a steady-state harvesting phase.</t>
  </si>
  <si>
    <t>Weighted Target Price (DCF:0.2, SOTP:0.8)</t>
  </si>
  <si>
    <t>Active Jio Multiple</t>
  </si>
  <si>
    <t>x</t>
  </si>
  <si>
    <t>Active Retail Multiple</t>
  </si>
  <si>
    <t>Active O2C Multiple</t>
  </si>
  <si>
    <t>Active Oil &amp; Gas (E&amp;P) Multiple</t>
  </si>
  <si>
    <t>Implied SOTP Upside/ (Downside) (%)</t>
  </si>
  <si>
    <t>Weighted Target Upside/ Downside (%)</t>
  </si>
  <si>
    <t>DCF VALUATION</t>
  </si>
  <si>
    <t>SOTP VALUATION</t>
  </si>
  <si>
    <t>Weighted Target Price (SOTP:0.8, DCF:0.2)</t>
  </si>
  <si>
    <t>Blended Sum-of-the-Parts (SOTP) &amp; Discounted Cash Flow (DCF)</t>
  </si>
  <si>
    <t>10 Year GOI Bond Yield</t>
  </si>
  <si>
    <r>
      <t xml:space="preserve">Jio Subscriber Growth </t>
    </r>
    <r>
      <rPr>
        <b/>
        <sz val="9"/>
        <rFont val="Arial"/>
        <family val="2"/>
      </rPr>
      <t>FY27</t>
    </r>
  </si>
  <si>
    <r>
      <t xml:space="preserve">Retail EBITDA Margin </t>
    </r>
    <r>
      <rPr>
        <b/>
        <sz val="9"/>
        <rFont val="Arial"/>
        <family val="2"/>
      </rPr>
      <t>FY27</t>
    </r>
  </si>
  <si>
    <r>
      <t xml:space="preserve">O2C GRM Assumption ($/bbl) </t>
    </r>
    <r>
      <rPr>
        <b/>
        <sz val="9"/>
        <rFont val="Arial"/>
        <family val="2"/>
      </rPr>
      <t>FY27</t>
    </r>
  </si>
  <si>
    <r>
      <t xml:space="preserve">Consolidated EBITDA </t>
    </r>
    <r>
      <rPr>
        <b/>
        <sz val="9"/>
        <rFont val="Arial"/>
        <family val="2"/>
      </rPr>
      <t>FY27</t>
    </r>
  </si>
  <si>
    <t>DuPont Drivers (ROE Decomposition):</t>
  </si>
  <si>
    <t>├── Net Profit Margin (%)</t>
  </si>
  <si>
    <t>├── Asset Turnover (x)</t>
  </si>
  <si>
    <t>└── Equity Multiplier (x)</t>
  </si>
  <si>
    <t>Active Conglomerate Discount</t>
  </si>
  <si>
    <t>PEER UNIVERSE</t>
  </si>
  <si>
    <t>Company</t>
  </si>
  <si>
    <t>Ticker</t>
  </si>
  <si>
    <t>Country</t>
  </si>
  <si>
    <t>Sector</t>
  </si>
  <si>
    <t>Reliance Industries</t>
  </si>
  <si>
    <t>RELIANCE</t>
  </si>
  <si>
    <t>India</t>
  </si>
  <si>
    <t>Diversified</t>
  </si>
  <si>
    <t>Bharti Airtel</t>
  </si>
  <si>
    <t>BHARTIARTL</t>
  </si>
  <si>
    <t>Telecom</t>
  </si>
  <si>
    <t>Avenue Supermarts</t>
  </si>
  <si>
    <t>DMART</t>
  </si>
  <si>
    <t>Retail</t>
  </si>
  <si>
    <t>Indian Oil</t>
  </si>
  <si>
    <t>IOC</t>
  </si>
  <si>
    <t>Refining</t>
  </si>
  <si>
    <t>ONGC</t>
  </si>
  <si>
    <t>Oil &amp; Gas</t>
  </si>
  <si>
    <t>Adani Enterprises</t>
  </si>
  <si>
    <t>ADANIENT</t>
  </si>
  <si>
    <t xml:space="preserve"> Company </t>
  </si>
  <si>
    <t xml:space="preserve"> Share Price </t>
  </si>
  <si>
    <t xml:space="preserve"> Market Cap </t>
  </si>
  <si>
    <t xml:space="preserve"> EBITDA FY27E </t>
  </si>
  <si>
    <t xml:space="preserve"> EPS FY27E </t>
  </si>
  <si>
    <t>EV/EBITDA</t>
  </si>
  <si>
    <t>P/E</t>
  </si>
  <si>
    <t>P/B</t>
  </si>
  <si>
    <t>Mean</t>
  </si>
  <si>
    <t>Median</t>
  </si>
  <si>
    <t>Minimum</t>
  </si>
  <si>
    <t>Maximum</t>
  </si>
  <si>
    <t>SUMMARY STATISTICS</t>
  </si>
  <si>
    <t>Peer Median</t>
  </si>
  <si>
    <t>Premium / Discount</t>
  </si>
  <si>
    <t>RELIANCE PREMIUM/DISCOUNT</t>
  </si>
  <si>
    <t>COMPARABLE COMPANY TRADING ANALYSIS</t>
  </si>
  <si>
    <t>Conglomerate</t>
  </si>
  <si>
    <t>Revenue FY27E</t>
  </si>
  <si>
    <t xml:space="preserve"> Book Value/Share</t>
  </si>
  <si>
    <t>25th Percentile</t>
  </si>
  <si>
    <t>75th Percentile</t>
  </si>
  <si>
    <t xml:space="preserve">Standard Deviation </t>
  </si>
  <si>
    <t>Reliance</t>
  </si>
  <si>
    <t>Comparable Target Price</t>
  </si>
  <si>
    <t xml:space="preserve">COMPARABLE VALUE SUMMARY </t>
  </si>
  <si>
    <t>P/E Target</t>
  </si>
  <si>
    <t>P/B Target</t>
  </si>
  <si>
    <t>VALUATION METHODLOGY</t>
  </si>
  <si>
    <t>Item</t>
  </si>
  <si>
    <t>Selection</t>
  </si>
  <si>
    <t>Forecast Year</t>
  </si>
  <si>
    <t>FY2026-27E</t>
  </si>
  <si>
    <t>Primary Multiple</t>
  </si>
  <si>
    <t>Secondary Multiples</t>
  </si>
  <si>
    <t>P/E, EV/Sales, P/B</t>
  </si>
  <si>
    <t>Central Tendency</t>
  </si>
  <si>
    <t>Target Price Method</t>
  </si>
  <si>
    <t>Weighted Average</t>
  </si>
  <si>
    <t>Peer Selection</t>
  </si>
  <si>
    <t>EV/Sales</t>
  </si>
  <si>
    <t>Segment-relevent + diversified reference peers</t>
  </si>
  <si>
    <t>Valuation Date</t>
  </si>
  <si>
    <t>Peer valuation based on FY27E broker/consensus estimates available around the valuation date. Market prices reflect 7 August 2026. Forecast estimates are sourced from publicly available institutional research reports; estimates may differ across research providers.</t>
  </si>
  <si>
    <t>Rationale</t>
  </si>
  <si>
    <t>Reliance Segment</t>
  </si>
  <si>
    <t>Primary Comparable</t>
  </si>
  <si>
    <t>Direct listed telecom operator; closest operating and business-model comparable</t>
  </si>
  <si>
    <t>Indian organized retail exposure; store-led consumer model</t>
  </si>
  <si>
    <t>Indian refining and petroleum marketing exposure</t>
  </si>
  <si>
    <t>Indian upstream oil &amp; gas exposure</t>
  </si>
  <si>
    <t>Diversified / Corporate</t>
  </si>
  <si>
    <t>Diversified Indian business portfolio; useful conglomerate reference</t>
  </si>
  <si>
    <t>SEGMENT-RELEVANT COMPARABLE FRAMEWORK</t>
  </si>
  <si>
    <t xml:space="preserve">Relevence </t>
  </si>
  <si>
    <t>SEGMENT WEIGHTING FOR RELATIVE VALUATION</t>
  </si>
  <si>
    <t>Valuation Basis</t>
  </si>
  <si>
    <t>Segment Value (₹ Cr)</t>
  </si>
  <si>
    <t>% of SOTP Value</t>
  </si>
  <si>
    <t>Comparable Weight</t>
  </si>
  <si>
    <t>SOTP EV</t>
  </si>
  <si>
    <t>Total</t>
  </si>
  <si>
    <t>Primary Peer</t>
  </si>
  <si>
    <t>Relevant Multiple</t>
  </si>
  <si>
    <t>Peer Multiple</t>
  </si>
  <si>
    <t>Reliance Metric</t>
  </si>
  <si>
    <t>Implied Segment EV</t>
  </si>
  <si>
    <t>RETAIL MULTIPLE NORMALIZATION</t>
  </si>
  <si>
    <t>Method</t>
  </si>
  <si>
    <t>Reliance Retail FY27E EBITDA</t>
  </si>
  <si>
    <t>Implied Retail EV</t>
  </si>
  <si>
    <t>Raw DMart Multiple</t>
  </si>
  <si>
    <t>Selected Retail Multiple</t>
  </si>
  <si>
    <t>DMart represents the closest listed Indian retail comparable; however, its FY27E EV/EBITDA multiple is materially above the broader peer distribution.</t>
  </si>
  <si>
    <t xml:space="preserve">A normalized multiple is therefore applied to Reliance Retail to avoid transferring the full premium associated with DMart's distinct growth profile, store economics </t>
  </si>
  <si>
    <t>and pure-play positioning.associated with DMart's distinct growth profile</t>
  </si>
  <si>
    <t xml:space="preserve"> store economics and pure-play positioning.</t>
  </si>
  <si>
    <t>RETAIL COMPARABILITY ANALYSIS</t>
  </si>
  <si>
    <t>Reliance Retail FY27E</t>
  </si>
  <si>
    <t>DMart FY27E</t>
  </si>
  <si>
    <t>Relative Assessment</t>
  </si>
  <si>
    <t>Revenue Growth</t>
  </si>
  <si>
    <t>Dmart Higher</t>
  </si>
  <si>
    <t>Reliance Slightly high</t>
  </si>
  <si>
    <t>Reliance at ~50% discount</t>
  </si>
  <si>
    <t>Selected below DMart's 39.9x observed multiple to reflect Reliance Retail's lower forecast growth,while maintaining a premium to the broader peer median due to its scale,</t>
  </si>
  <si>
    <t>margin profile and long-term organized-retail growth opportunity.</t>
  </si>
  <si>
    <t>JIO COMPARABILITY ANALYSIS</t>
  </si>
  <si>
    <t>Jio FY27E</t>
  </si>
  <si>
    <t>Bharti Airtel FY27E</t>
  </si>
  <si>
    <t>Airtel Higher</t>
  </si>
  <si>
    <t>O2C COMPARABILITY ANALYSIS</t>
  </si>
  <si>
    <t>O2C FY27E</t>
  </si>
  <si>
    <t>Indian Oil FY27E</t>
  </si>
  <si>
    <t>Reliance slightly stronger</t>
  </si>
  <si>
    <t>Broadly equivalent</t>
  </si>
  <si>
    <t>Oil &amp; Gas COMPARABILITY ANALYSIS</t>
  </si>
  <si>
    <t>Oil &amp; Gas FY27E</t>
  </si>
  <si>
    <t>ONGC FY27E</t>
  </si>
  <si>
    <t>ONGC stronger</t>
  </si>
  <si>
    <t>Reliance materially stronger*</t>
  </si>
  <si>
    <t>Margin comparison is not strictly like-for-like because Reliance's Oil &amp; Gas segment represents a narrower E&amp;P business scope, while ONGC's reported financials reflect its broader</t>
  </si>
  <si>
    <t>consolidated operations and accounting presentation</t>
  </si>
  <si>
    <t>SOTP SEGMENT VALUE WEIGHTS — DCF BASE CASE</t>
  </si>
  <si>
    <t>Implied Equity Value</t>
  </si>
  <si>
    <t>Target Price</t>
  </si>
  <si>
    <t>Weight</t>
  </si>
  <si>
    <t>EV/EBITDA Target</t>
  </si>
  <si>
    <t xml:space="preserve">EV/Sales Target     </t>
  </si>
  <si>
    <t>Weighted Target Price</t>
  </si>
  <si>
    <t>Value</t>
  </si>
  <si>
    <t>Highest Method Target</t>
  </si>
  <si>
    <t>Lowest Method Target</t>
  </si>
  <si>
    <t>Valuation Range</t>
  </si>
  <si>
    <t>Target Price Dispersion</t>
  </si>
  <si>
    <t>SOTP VALUATION BRIDGE</t>
  </si>
  <si>
    <t>Value (₹ Cr)</t>
  </si>
  <si>
    <t>Digital Services (Jio) EV</t>
  </si>
  <si>
    <t>Reliance Retail EV</t>
  </si>
  <si>
    <t>O2C EV</t>
  </si>
  <si>
    <t>Oil &amp; Gas EV</t>
  </si>
  <si>
    <t>Other Businesses &amp; Corporate EV</t>
  </si>
  <si>
    <t>Total Segment Enterprise Value</t>
  </si>
  <si>
    <t>Diluted Shares Outstanding (Cr)</t>
  </si>
  <si>
    <t>SOTP Implied Target Price</t>
  </si>
  <si>
    <t xml:space="preserve">EV/Sales FY27E </t>
  </si>
  <si>
    <t xml:space="preserve"> EV/EBITDA FY27E </t>
  </si>
  <si>
    <t xml:space="preserve"> P/E FY27E </t>
  </si>
  <si>
    <t xml:space="preserve"> P/B FY27E </t>
  </si>
  <si>
    <t>Jio at a ~3% discount</t>
  </si>
  <si>
    <t>CONSOLIDATED COMPS TARGET PRICE</t>
  </si>
  <si>
    <t>FY2027E–FY2031E</t>
  </si>
  <si>
    <t>Terminal Value Method</t>
  </si>
  <si>
    <t>Perpetuity Growth</t>
  </si>
  <si>
    <t>DCF Implied Target Price</t>
  </si>
  <si>
    <t>WACC (%)</t>
  </si>
  <si>
    <t>Terminal Growth Rate (%)</t>
  </si>
  <si>
    <t xml:space="preserve">DCF VALUATION </t>
  </si>
  <si>
    <t>DCF VALUATION (EXIT MULTIPLE BASED)</t>
  </si>
  <si>
    <t>FY2031E EBITDA (₹ Cr)</t>
  </si>
  <si>
    <t>Peer EV/EBITDA Multiple</t>
  </si>
  <si>
    <t>Terminal Value (₹ Cr)</t>
  </si>
  <si>
    <t>Organised Retail</t>
  </si>
  <si>
    <t>Other Operations</t>
  </si>
  <si>
    <t>PV of TV  (₹ Cr)</t>
  </si>
  <si>
    <t>Total EV</t>
  </si>
  <si>
    <t>THE 4-STRING VALUATION MATRIX</t>
  </si>
  <si>
    <t>Valuation String</t>
  </si>
  <si>
    <t>Implied Target Price</t>
  </si>
  <si>
    <t>Core Analytical Purpose</t>
  </si>
  <si>
    <t>Market Implication</t>
  </si>
  <si>
    <t>String 1: Relative Pricing</t>
  </si>
  <si>
    <t>Comparable Company Analysis (CCA)</t>
  </si>
  <si>
    <t>Measures current public market multiple ranges against premium standalone pure-play sector peers.</t>
  </si>
  <si>
    <t>String 2: Structural</t>
  </si>
  <si>
    <t>Market Metric Sum-of-the-Parts (SOTP)</t>
  </si>
  <si>
    <t>Disaggregates individual business units based on current segmental trailing multiples</t>
  </si>
  <si>
    <t>String 3: Intrinsic Anchor</t>
  </si>
  <si>
    <t>DCF (Perpetuity Growth Method)</t>
  </si>
  <si>
    <t>String 4: Integrated Intrinsic</t>
  </si>
  <si>
    <t>DCF (Segment Exit Multiple Method)</t>
  </si>
  <si>
    <t>Combines 5-year interim cash flow dynamics with segment-specific peer multiples applied directly to terminal EBITDA projections.</t>
  </si>
  <si>
    <r>
      <rPr>
        <b/>
        <sz val="9"/>
        <rFont val="Arial"/>
        <family val="2"/>
      </rPr>
      <t>Core Target Price:</t>
    </r>
    <r>
      <rPr>
        <sz val="10"/>
        <rFont val="Arial"/>
        <family val="2"/>
      </rPr>
      <t xml:space="preserve"> Captures operational peer realities across asymmetric business divisions.</t>
    </r>
  </si>
  <si>
    <r>
      <rPr>
        <b/>
        <sz val="9"/>
        <rFont val="Arial"/>
        <family val="2"/>
      </rPr>
      <t>Market Baseline:</t>
    </r>
    <r>
      <rPr>
        <sz val="9"/>
        <rFont val="Arial"/>
        <family val="2"/>
      </rPr>
      <t xml:space="preserve"> Represents the asset-breakup value under current market conditions</t>
    </r>
  </si>
  <si>
    <r>
      <rPr>
        <b/>
        <sz val="9"/>
        <rFont val="Arial"/>
        <family val="2"/>
      </rPr>
      <t xml:space="preserve">Intrinsic Value Anchor: </t>
    </r>
    <r>
      <rPr>
        <b/>
        <sz val="10"/>
        <rFont val="Arial"/>
        <family val="2"/>
      </rPr>
      <t xml:space="preserve"> </t>
    </r>
    <r>
      <rPr>
        <sz val="10"/>
        <rFont val="Arial"/>
        <family val="2"/>
      </rPr>
      <t>Demonstrates that current market pricing is heavily protected by core fundamental cash flows.</t>
    </r>
  </si>
  <si>
    <r>
      <rPr>
        <b/>
        <sz val="9"/>
        <rFont val="Arial"/>
        <family val="2"/>
      </rPr>
      <t>Relative Re-rating Potential:</t>
    </r>
    <r>
      <rPr>
        <sz val="9"/>
        <rFont val="Arial"/>
        <family val="2"/>
      </rPr>
      <t xml:space="preserve"> Reflects maximum market re-rating potential if consumer units unlock premium standalone values.</t>
    </r>
  </si>
  <si>
    <t>Anchors the absolute intrinsic floor using a conservative 10.50% WACC (Base Case) and a 5.00% perpetual growth rate (Base Case) linked to long-term nominal Indian GDP growth.</t>
  </si>
  <si>
    <t>FINAL VALUATION RECONCILIATION</t>
  </si>
  <si>
    <t>Valuation Method</t>
  </si>
  <si>
    <t>Weighted Value</t>
  </si>
  <si>
    <t>Consolidated CCA</t>
  </si>
  <si>
    <t>Segment SOTP</t>
  </si>
  <si>
    <t>DCF – Perpetuity Growth</t>
  </si>
  <si>
    <t>DCF – Segment Exit Multiple</t>
  </si>
  <si>
    <t>Final Target Price</t>
  </si>
  <si>
    <t>VALUATION RANGE</t>
  </si>
  <si>
    <t>Analytical Role &amp; Source Linkage</t>
  </si>
  <si>
    <t>Current Market Price</t>
  </si>
  <si>
    <t>Bear Case</t>
  </si>
  <si>
    <t>Base Case</t>
  </si>
  <si>
    <t>Bull Case</t>
  </si>
  <si>
    <t>Market-momentum valuation ceiling (Consolidated CCA)</t>
  </si>
  <si>
    <t>Central blended consensus valuation target</t>
  </si>
  <si>
    <t>Intrinsic floor boundary (DCF Perpetuity Growth method)</t>
  </si>
  <si>
    <t>Calculated total return potential to fair value</t>
  </si>
  <si>
    <t>Weighted multi-method blended fair value anchor</t>
  </si>
  <si>
    <t>NSE actual spot pricing (As of August 12, 2026)</t>
  </si>
  <si>
    <t>Current NSE Market Price (As of Aug 12, 2026)</t>
  </si>
  <si>
    <t>12th August 2026</t>
  </si>
  <si>
    <t>FINAL VALUATION DASHBOARD</t>
  </si>
  <si>
    <t>PRIMARY SCENERIO VALUATION</t>
  </si>
  <si>
    <t>Scenerio</t>
  </si>
  <si>
    <t xml:space="preserve">Implied Share Price </t>
  </si>
  <si>
    <t>Bull</t>
  </si>
  <si>
    <t>Base</t>
  </si>
  <si>
    <t xml:space="preserve">Bear       </t>
  </si>
  <si>
    <t>Current NSE Price</t>
  </si>
  <si>
    <t>Relative CCA</t>
  </si>
  <si>
    <t>Market SOTP</t>
  </si>
  <si>
    <t>DCF Perpetuity</t>
  </si>
  <si>
    <t>DCF Segment Exit</t>
  </si>
  <si>
    <t xml:space="preserve">Base Upside </t>
  </si>
  <si>
    <t xml:space="preserve">Median </t>
  </si>
  <si>
    <t>INDEPENDENT VALUATION CROSS CHECK</t>
  </si>
  <si>
    <t>OBSERVABLE PEER ANCHORS</t>
  </si>
  <si>
    <t>Observable Peer Anchor</t>
  </si>
  <si>
    <t>Main Model</t>
  </si>
  <si>
    <t>Jio</t>
  </si>
  <si>
    <t>9.57x</t>
  </si>
  <si>
    <t>15.0x</t>
  </si>
  <si>
    <t>Growth / digital ecosystem premium</t>
  </si>
  <si>
    <t>20.07x</t>
  </si>
  <si>
    <t>22.0x</t>
  </si>
  <si>
    <t>Modest premium vs normalized peer</t>
  </si>
  <si>
    <t>3.68x</t>
  </si>
  <si>
    <t>6.5x</t>
  </si>
  <si>
    <t>Private-sector / integration / asset-quality premium</t>
  </si>
  <si>
    <t>2.11x</t>
  </si>
  <si>
    <t>5.5x</t>
  </si>
  <si>
    <t>Private-sector / asset-quality / portfolio premium</t>
  </si>
  <si>
    <t xml:space="preserve">Premium to Bharti Airtel's observed multiple, reflecting Jio's strong subscriber growth, high EBITDA margins, </t>
  </si>
  <si>
    <t xml:space="preserve">digital ecosystem optionality and long-term monetisation potential. The premium recognises Jio's growth </t>
  </si>
  <si>
    <t>and strategic positioning while remaining below high-growth standalone technology/platform valuations.</t>
  </si>
  <si>
    <t xml:space="preserve">Modest premium to the normalized peer reference multiple, supported by Reliance Retail's scale, diversified retail </t>
  </si>
  <si>
    <t xml:space="preserve">formats, omnichannel capabilities, slightly higher EBITDA margin than DMart in the model,and long-term formalisation </t>
  </si>
  <si>
    <t>of India's retail market. The multiple remains materially below DMart's observed 39.86x, providing valuation discipline.</t>
  </si>
  <si>
    <t xml:space="preserve">Premium to Indian Oil's observed multiple, which is used as a reference rather than a direct like-for-like </t>
  </si>
  <si>
    <t xml:space="preserve">benchmark given differences in ownership scale, integration and business mix. The premium reflects Reliance's </t>
  </si>
  <si>
    <t>integrated refining and petrochemical platform,asset complexity, private-sector capital allocation and broader downstream capabilities.</t>
  </si>
  <si>
    <t xml:space="preserve">Premium to ONGC's observed multiple, used as a reference peer rather than a direct like-for-like benchmark due </t>
  </si>
  <si>
    <t xml:space="preserve">to differences in ownership scale, asset portfolio and capital allocation. The higher multiple reflects Reliance's </t>
  </si>
  <si>
    <t>private-sector operating model, strategic E&amp;P assets, portfolio optionality and integration within the broader energy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</si>
</sst>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1" formatCode="_(* #,##0_);_(* \(#,##0\);_(* &quot;-&quot;_);_(@_)"/>
    <numFmt numFmtId="44" formatCode="_(&quot;₹&quot;* #,##0.00_);_(&quot;₹&quot;* \(#,##0.00\);_(&quot;₹&quot;* &quot;-&quot;??_);_(@_)"/>
    <numFmt numFmtId="43" formatCode="_(* #,##0.00_);_(* \(#,##0.00\);_(* &quot;-&quot;??_);_(@_)"/>
    <numFmt numFmtId="164" formatCode="_(* #,##0_);_(* \(#,##0\);_(* &quot;-&quot;??_);_(@_)"/>
    <numFmt numFmtId="165" formatCode="&quot;₹&quot;#,##0.00"/>
    <numFmt numFmtId="166" formatCode="0.0"/>
    <numFmt numFmtId="167" formatCode="0.000"/>
    <numFmt numFmtId="168" formatCode="0.00\x"/>
    <numFmt numFmtId="169" formatCode="\+\ 0.00%"/>
  </numFmts>
  <fonts count="34" x14ac:knownFonts="1">
    <font>
      <sz val="10"/>
      <name val="Arial"/>
    </font>
    <font>
      <sz val="10"/>
      <name val="Arial"/>
      <family val="2"/>
      <charset val="204"/>
    </font>
    <font>
      <sz val="9"/>
      <name val="Arial"/>
      <family val="2"/>
      <charset val="204"/>
    </font>
    <font>
      <b/>
      <sz val="40"/>
      <color rgb="FF002060"/>
      <name val="Arial"/>
      <family val="2"/>
      <charset val="204"/>
    </font>
    <font>
      <sz val="8"/>
      <color theme="1"/>
      <name val="Arial"/>
      <family val="2"/>
    </font>
    <font>
      <b/>
      <sz val="8"/>
      <color theme="1"/>
      <name val="Arial"/>
      <family val="2"/>
    </font>
    <font>
      <sz val="10"/>
      <color rgb="FF002060"/>
      <name val="Arial"/>
      <family val="2"/>
      <charset val="204"/>
    </font>
    <font>
      <sz val="10"/>
      <name val="Arial"/>
      <family val="2"/>
    </font>
    <font>
      <sz val="10"/>
      <color theme="1"/>
      <name val="Arial"/>
      <family val="2"/>
    </font>
    <font>
      <b/>
      <sz val="10"/>
      <name val="Arial"/>
      <family val="2"/>
    </font>
    <font>
      <b/>
      <sz val="14"/>
      <name val="Calibri"/>
      <family val="2"/>
    </font>
    <font>
      <b/>
      <sz val="12"/>
      <name val="Calibri"/>
      <family val="2"/>
    </font>
    <font>
      <i/>
      <sz val="10"/>
      <name val="Calibri"/>
      <family val="2"/>
    </font>
    <font>
      <b/>
      <sz val="11"/>
      <name val="Arial"/>
      <family val="2"/>
    </font>
    <font>
      <b/>
      <sz val="11"/>
      <color theme="0"/>
      <name val="Arial"/>
      <family val="2"/>
    </font>
    <font>
      <b/>
      <sz val="10"/>
      <color theme="0"/>
      <name val="Arial"/>
      <family val="2"/>
    </font>
    <font>
      <b/>
      <sz val="12"/>
      <color theme="0"/>
      <name val="Calibri"/>
      <family val="2"/>
    </font>
    <font>
      <sz val="9"/>
      <name val="Arial"/>
      <family val="2"/>
    </font>
    <font>
      <b/>
      <sz val="9"/>
      <name val="Arial"/>
      <family val="2"/>
    </font>
    <font>
      <sz val="14"/>
      <name val="Arial"/>
      <family val="2"/>
    </font>
    <font>
      <sz val="9"/>
      <color theme="1"/>
      <name val="Arial"/>
      <family val="2"/>
    </font>
    <font>
      <b/>
      <sz val="9"/>
      <color theme="0"/>
      <name val="Arial"/>
      <family val="2"/>
    </font>
    <font>
      <b/>
      <sz val="16"/>
      <name val="Arial"/>
      <family val="2"/>
    </font>
    <font>
      <b/>
      <sz val="12"/>
      <color theme="0"/>
      <name val="Arial"/>
      <family val="2"/>
    </font>
    <font>
      <b/>
      <sz val="11"/>
      <color theme="1"/>
      <name val="Arial"/>
      <family val="2"/>
    </font>
    <font>
      <sz val="12"/>
      <color theme="0"/>
      <name val="Arial"/>
      <family val="2"/>
    </font>
    <font>
      <sz val="11"/>
      <color theme="0"/>
      <name val="Arial"/>
      <family val="2"/>
    </font>
    <font>
      <b/>
      <sz val="12"/>
      <name val="Arial"/>
      <family val="2"/>
    </font>
    <font>
      <b/>
      <sz val="10"/>
      <color rgb="FF002060"/>
      <name val="Arial"/>
      <family val="2"/>
    </font>
    <font>
      <b/>
      <sz val="10"/>
      <color rgb="FF00B050"/>
      <name val="Arial"/>
      <family val="2"/>
    </font>
    <font>
      <b/>
      <sz val="9"/>
      <color rgb="FF00B050"/>
      <name val="Arial"/>
      <family val="2"/>
    </font>
    <font>
      <b/>
      <sz val="9"/>
      <color rgb="FF002060"/>
      <name val="Arial"/>
      <family val="2"/>
    </font>
    <font>
      <b/>
      <sz val="14"/>
      <name val="Arial"/>
      <family val="2"/>
    </font>
    <font>
      <b/>
      <sz val="13"/>
      <name val="Arial"/>
      <family val="2"/>
    </font>
  </fonts>
  <fills count="1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rgb="FF002060"/>
        <bgColor rgb="FF1F4E78"/>
      </patternFill>
    </fill>
    <fill>
      <patternFill patternType="solid">
        <fgColor theme="0"/>
        <bgColor rgb="FF1F4E78"/>
      </patternFill>
    </fill>
    <fill>
      <patternFill patternType="solid">
        <fgColor theme="0"/>
        <bgColor rgb="FFD9E1F2"/>
      </patternFill>
    </fill>
    <fill>
      <patternFill patternType="solid">
        <fgColor theme="0"/>
        <bgColor rgb="FFFFF2CC"/>
      </patternFill>
    </fill>
    <fill>
      <patternFill patternType="solid">
        <fgColor rgb="FF0070C0"/>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5" tint="-0.499984740745262"/>
        <bgColor indexed="64"/>
      </patternFill>
    </fill>
    <fill>
      <patternFill patternType="solid">
        <fgColor rgb="FFFFFF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50"/>
        <bgColor indexed="64"/>
      </patternFill>
    </fill>
  </fills>
  <borders count="16">
    <border>
      <left/>
      <right/>
      <top/>
      <bottom/>
      <diagonal/>
    </border>
    <border>
      <left/>
      <right/>
      <top style="thin">
        <color indexed="64"/>
      </top>
      <bottom style="medium">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top/>
      <bottom style="medium">
        <color theme="0" tint="-4.9989318521683403E-2"/>
      </bottom>
      <diagonal/>
    </border>
    <border>
      <left/>
      <right/>
      <top style="medium">
        <color theme="0" tint="-4.9989318521683403E-2"/>
      </top>
      <bottom style="medium">
        <color theme="0" tint="-4.9989318521683403E-2"/>
      </bottom>
      <diagonal/>
    </border>
    <border>
      <left/>
      <right style="medium">
        <color theme="0"/>
      </right>
      <top/>
      <bottom/>
      <diagonal/>
    </border>
    <border>
      <left/>
      <right/>
      <top style="thin">
        <color theme="0"/>
      </top>
      <bottom style="thin">
        <color theme="0"/>
      </bottom>
      <diagonal/>
    </border>
    <border>
      <left/>
      <right/>
      <top/>
      <bottom style="medium">
        <color theme="1"/>
      </bottom>
      <diagonal/>
    </border>
    <border>
      <left style="medium">
        <color theme="1"/>
      </left>
      <right style="medium">
        <color theme="1"/>
      </right>
      <top style="medium">
        <color theme="1"/>
      </top>
      <bottom style="medium">
        <color theme="1"/>
      </bottom>
      <diagonal/>
    </border>
    <border>
      <left/>
      <right/>
      <top/>
      <bottom style="medium">
        <color indexed="64"/>
      </bottom>
      <diagonal/>
    </border>
    <border>
      <left style="medium">
        <color theme="0"/>
      </left>
      <right style="medium">
        <color theme="0"/>
      </right>
      <top/>
      <bottom style="medium">
        <color theme="0"/>
      </bottom>
      <diagonal/>
    </border>
    <border>
      <left style="medium">
        <color indexed="64"/>
      </left>
      <right style="medium">
        <color theme="0"/>
      </right>
      <top style="medium">
        <color theme="0"/>
      </top>
      <bottom style="medium">
        <color theme="0"/>
      </bottom>
      <diagonal/>
    </border>
    <border>
      <left/>
      <right/>
      <top/>
      <bottom style="medium">
        <color theme="0"/>
      </bottom>
      <diagonal/>
    </border>
    <border>
      <left style="medium">
        <color theme="0"/>
      </left>
      <right/>
      <top style="medium">
        <color theme="0"/>
      </top>
      <bottom style="medium">
        <color theme="1"/>
      </bottom>
      <diagonal/>
    </border>
    <border>
      <left/>
      <right style="medium">
        <color theme="0"/>
      </right>
      <top style="medium">
        <color theme="0"/>
      </top>
      <bottom style="medium">
        <color theme="1"/>
      </bottom>
      <diagonal/>
    </border>
  </borders>
  <cellStyleXfs count="4">
    <xf numFmtId="0" fontId="0" fillId="0" borderId="0">
      <alignment vertical="top"/>
    </xf>
    <xf numFmtId="43" fontId="1" fillId="0" borderId="0">
      <alignment vertical="top"/>
    </xf>
    <xf numFmtId="9" fontId="1" fillId="0" borderId="0">
      <alignment vertical="top"/>
    </xf>
    <xf numFmtId="44" fontId="7" fillId="0" borderId="0" applyFont="0" applyFill="0" applyBorder="0" applyAlignment="0" applyProtection="0"/>
  </cellStyleXfs>
  <cellXfs count="289">
    <xf numFmtId="0" fontId="0" fillId="0" borderId="0" xfId="0">
      <alignment vertical="top"/>
    </xf>
    <xf numFmtId="0" fontId="0" fillId="2" borderId="0" xfId="0" applyFill="1">
      <alignment vertical="top"/>
    </xf>
    <xf numFmtId="0" fontId="3" fillId="2" borderId="0" xfId="0" applyFont="1" applyFill="1">
      <alignment vertical="top"/>
    </xf>
    <xf numFmtId="0" fontId="4" fillId="3" borderId="0" xfId="0" applyFont="1" applyFill="1" applyAlignment="1"/>
    <xf numFmtId="0" fontId="5" fillId="3" borderId="0" xfId="0" applyFont="1" applyFill="1" applyAlignment="1"/>
    <xf numFmtId="0" fontId="6" fillId="2" borderId="0" xfId="0" applyFont="1" applyFill="1">
      <alignment vertical="top"/>
    </xf>
    <xf numFmtId="0" fontId="7" fillId="0" borderId="0" xfId="0" applyFont="1">
      <alignment vertical="top"/>
    </xf>
    <xf numFmtId="3" fontId="0" fillId="0" borderId="0" xfId="0" applyNumberFormat="1">
      <alignment vertical="top"/>
    </xf>
    <xf numFmtId="3" fontId="7" fillId="0" borderId="0" xfId="0" applyNumberFormat="1" applyFont="1">
      <alignment vertical="top"/>
    </xf>
    <xf numFmtId="0" fontId="10" fillId="0" borderId="0" xfId="0" applyFont="1" applyAlignment="1"/>
    <xf numFmtId="0" fontId="0" fillId="0" borderId="0" xfId="0" applyAlignment="1"/>
    <xf numFmtId="0" fontId="11" fillId="0" borderId="0" xfId="0" applyFont="1" applyAlignment="1"/>
    <xf numFmtId="0" fontId="12" fillId="0" borderId="0" xfId="0" applyFont="1" applyAlignment="1"/>
    <xf numFmtId="3" fontId="0" fillId="2" borderId="0" xfId="0" applyNumberFormat="1" applyFill="1" applyAlignment="1">
      <alignment horizontal="right"/>
    </xf>
    <xf numFmtId="0" fontId="0" fillId="2" borderId="0" xfId="0" applyFill="1" applyAlignment="1">
      <alignment horizontal="right"/>
    </xf>
    <xf numFmtId="0" fontId="16" fillId="5" borderId="0" xfId="0" applyFont="1" applyFill="1" applyAlignment="1">
      <alignment horizontal="center" vertical="center" wrapText="1"/>
    </xf>
    <xf numFmtId="0" fontId="9" fillId="0" borderId="0" xfId="0" applyFont="1">
      <alignment vertical="top"/>
    </xf>
    <xf numFmtId="0" fontId="7" fillId="0" borderId="0" xfId="0" applyFont="1" applyAlignment="1">
      <alignment vertical="top" wrapText="1"/>
    </xf>
    <xf numFmtId="0" fontId="17" fillId="0" borderId="0" xfId="0" applyFont="1">
      <alignment vertical="top"/>
    </xf>
    <xf numFmtId="10" fontId="0" fillId="0" borderId="0" xfId="0" applyNumberFormat="1">
      <alignment vertical="top"/>
    </xf>
    <xf numFmtId="165" fontId="0" fillId="0" borderId="0" xfId="0" applyNumberFormat="1">
      <alignment vertical="top"/>
    </xf>
    <xf numFmtId="10" fontId="1" fillId="0" borderId="0" xfId="2" applyNumberFormat="1">
      <alignment vertical="top"/>
    </xf>
    <xf numFmtId="3" fontId="17" fillId="0" borderId="0" xfId="0" applyNumberFormat="1" applyFont="1">
      <alignment vertical="top"/>
    </xf>
    <xf numFmtId="10" fontId="17" fillId="0" borderId="0" xfId="2" applyNumberFormat="1" applyFont="1">
      <alignment vertical="top"/>
    </xf>
    <xf numFmtId="164" fontId="17" fillId="0" borderId="0" xfId="3" applyNumberFormat="1" applyFont="1" applyAlignment="1">
      <alignment horizontal="right" vertical="top"/>
    </xf>
    <xf numFmtId="10" fontId="17" fillId="0" borderId="0" xfId="0" applyNumberFormat="1" applyFont="1" applyAlignment="1">
      <alignment horizontal="right" vertical="top"/>
    </xf>
    <xf numFmtId="10" fontId="17" fillId="0" borderId="0" xfId="2" applyNumberFormat="1" applyFont="1" applyAlignment="1">
      <alignment horizontal="right" vertical="top"/>
    </xf>
    <xf numFmtId="0" fontId="17" fillId="0" borderId="0" xfId="0" applyFont="1" applyAlignment="1">
      <alignment horizontal="right" vertical="top"/>
    </xf>
    <xf numFmtId="9" fontId="17" fillId="0" borderId="0" xfId="0" applyNumberFormat="1" applyFont="1" applyAlignment="1">
      <alignment horizontal="right" vertical="top"/>
    </xf>
    <xf numFmtId="0" fontId="17" fillId="0" borderId="0" xfId="0" applyFont="1" applyAlignment="1">
      <alignment horizontal="left" vertical="top"/>
    </xf>
    <xf numFmtId="164" fontId="0" fillId="0" borderId="0" xfId="0" applyNumberFormat="1">
      <alignment vertical="top"/>
    </xf>
    <xf numFmtId="0" fontId="17" fillId="0" borderId="2" xfId="0" applyFont="1" applyBorder="1">
      <alignment vertical="top"/>
    </xf>
    <xf numFmtId="164" fontId="17" fillId="0" borderId="2" xfId="3" applyNumberFormat="1" applyFont="1" applyBorder="1" applyAlignment="1">
      <alignment horizontal="right" vertical="top"/>
    </xf>
    <xf numFmtId="164" fontId="17" fillId="0" borderId="0" xfId="0" applyNumberFormat="1" applyFont="1">
      <alignment vertical="top"/>
    </xf>
    <xf numFmtId="164" fontId="17" fillId="0" borderId="0" xfId="0" applyNumberFormat="1" applyFont="1" applyAlignment="1">
      <alignment horizontal="right" vertical="top"/>
    </xf>
    <xf numFmtId="3" fontId="17" fillId="0" borderId="0" xfId="0" applyNumberFormat="1" applyFont="1" applyAlignment="1">
      <alignment horizontal="right" vertical="top"/>
    </xf>
    <xf numFmtId="164" fontId="17" fillId="0" borderId="0" xfId="0" applyNumberFormat="1" applyFont="1" applyAlignment="1">
      <alignment horizontal="left" vertical="top"/>
    </xf>
    <xf numFmtId="43" fontId="0" fillId="0" borderId="0" xfId="0" applyNumberFormat="1">
      <alignment vertical="top"/>
    </xf>
    <xf numFmtId="166" fontId="0" fillId="0" borderId="0" xfId="0" applyNumberFormat="1">
      <alignment vertical="top"/>
    </xf>
    <xf numFmtId="10" fontId="1" fillId="0" borderId="0" xfId="2" applyNumberFormat="1" applyAlignment="1">
      <alignment horizontal="right" vertical="top"/>
    </xf>
    <xf numFmtId="2" fontId="17" fillId="0" borderId="0" xfId="0" applyNumberFormat="1" applyFont="1" applyAlignment="1">
      <alignment horizontal="right" vertical="top"/>
    </xf>
    <xf numFmtId="2" fontId="0" fillId="0" borderId="0" xfId="0" applyNumberFormat="1">
      <alignment vertical="top"/>
    </xf>
    <xf numFmtId="1" fontId="17" fillId="0" borderId="0" xfId="0" applyNumberFormat="1" applyFont="1" applyAlignment="1">
      <alignment horizontal="right" vertical="top"/>
    </xf>
    <xf numFmtId="0" fontId="0" fillId="0" borderId="0" xfId="0" applyAlignment="1">
      <alignment horizontal="center" vertical="top"/>
    </xf>
    <xf numFmtId="3" fontId="7" fillId="2" borderId="0" xfId="0" applyNumberFormat="1" applyFont="1" applyFill="1" applyAlignment="1">
      <alignment horizontal="right"/>
    </xf>
    <xf numFmtId="0" fontId="17" fillId="2" borderId="0" xfId="0" applyFont="1" applyFill="1" applyAlignment="1">
      <alignment horizontal="left"/>
    </xf>
    <xf numFmtId="3" fontId="17" fillId="2" borderId="0" xfId="0" applyNumberFormat="1" applyFont="1" applyFill="1" applyAlignment="1">
      <alignment horizontal="left"/>
    </xf>
    <xf numFmtId="3" fontId="17" fillId="2" borderId="0" xfId="0" applyNumberFormat="1" applyFont="1" applyFill="1" applyAlignment="1">
      <alignment horizontal="right"/>
    </xf>
    <xf numFmtId="0" fontId="20" fillId="8" borderId="0" xfId="0" applyFont="1" applyFill="1" applyAlignment="1">
      <alignment horizontal="left"/>
    </xf>
    <xf numFmtId="3" fontId="18" fillId="0" borderId="0" xfId="0" applyNumberFormat="1" applyFont="1">
      <alignment vertical="top"/>
    </xf>
    <xf numFmtId="3" fontId="17" fillId="0" borderId="0" xfId="0" applyNumberFormat="1" applyFont="1" applyAlignment="1"/>
    <xf numFmtId="3" fontId="17" fillId="7" borderId="0" xfId="0" applyNumberFormat="1" applyFont="1" applyFill="1" applyAlignment="1">
      <alignment horizontal="right"/>
    </xf>
    <xf numFmtId="0" fontId="18" fillId="2" borderId="2" xfId="0" applyFont="1" applyFill="1" applyBorder="1" applyAlignment="1">
      <alignment horizontal="left"/>
    </xf>
    <xf numFmtId="3" fontId="9" fillId="0" borderId="2" xfId="0" applyNumberFormat="1" applyFont="1" applyBorder="1">
      <alignment vertical="top"/>
    </xf>
    <xf numFmtId="3" fontId="18" fillId="0" borderId="2" xfId="0" applyNumberFormat="1" applyFont="1" applyBorder="1">
      <alignment vertical="top"/>
    </xf>
    <xf numFmtId="3" fontId="18" fillId="2" borderId="2" xfId="0" applyNumberFormat="1" applyFont="1" applyFill="1" applyBorder="1" applyAlignment="1">
      <alignment horizontal="left"/>
    </xf>
    <xf numFmtId="3" fontId="18" fillId="2" borderId="2" xfId="0" applyNumberFormat="1" applyFont="1" applyFill="1" applyBorder="1" applyAlignment="1">
      <alignment horizontal="right"/>
    </xf>
    <xf numFmtId="3" fontId="18" fillId="0" borderId="2" xfId="0" applyNumberFormat="1" applyFont="1" applyBorder="1" applyAlignment="1">
      <alignment vertical="center"/>
    </xf>
    <xf numFmtId="0" fontId="16" fillId="6" borderId="0" xfId="0" applyFont="1" applyFill="1" applyAlignment="1">
      <alignment horizontal="center" vertical="center" wrapText="1"/>
    </xf>
    <xf numFmtId="2" fontId="17" fillId="0" borderId="0" xfId="0" applyNumberFormat="1" applyFont="1">
      <alignment vertical="top"/>
    </xf>
    <xf numFmtId="2" fontId="17" fillId="2" borderId="0" xfId="0" applyNumberFormat="1" applyFont="1" applyFill="1" applyAlignment="1">
      <alignment horizontal="right"/>
    </xf>
    <xf numFmtId="0" fontId="7" fillId="0" borderId="0" xfId="0" applyFont="1" applyAlignment="1">
      <alignment horizontal="center" vertical="top"/>
    </xf>
    <xf numFmtId="0" fontId="9" fillId="0" borderId="2" xfId="0" applyFont="1" applyBorder="1">
      <alignment vertical="top"/>
    </xf>
    <xf numFmtId="0" fontId="18" fillId="0" borderId="2" xfId="0" applyFont="1" applyBorder="1">
      <alignment vertical="top"/>
    </xf>
    <xf numFmtId="0" fontId="21" fillId="4" borderId="2" xfId="0" applyFont="1" applyFill="1" applyBorder="1">
      <alignment vertical="top"/>
    </xf>
    <xf numFmtId="3" fontId="21" fillId="4" borderId="2" xfId="0" applyNumberFormat="1" applyFont="1" applyFill="1" applyBorder="1">
      <alignment vertical="top"/>
    </xf>
    <xf numFmtId="0" fontId="15" fillId="4" borderId="0" xfId="0" applyFont="1" applyFill="1" applyAlignment="1">
      <alignment horizontal="center" vertical="top"/>
    </xf>
    <xf numFmtId="0" fontId="9" fillId="0" borderId="0" xfId="0" applyFont="1" applyAlignment="1">
      <alignment horizontal="center" vertical="top"/>
    </xf>
    <xf numFmtId="3" fontId="21" fillId="4" borderId="0" xfId="0" applyNumberFormat="1" applyFont="1" applyFill="1" applyAlignment="1">
      <alignment horizontal="left"/>
    </xf>
    <xf numFmtId="3" fontId="21" fillId="4" borderId="0" xfId="0" applyNumberFormat="1" applyFont="1" applyFill="1">
      <alignment vertical="top"/>
    </xf>
    <xf numFmtId="3" fontId="21" fillId="4" borderId="0" xfId="0" applyNumberFormat="1" applyFont="1" applyFill="1" applyAlignment="1">
      <alignment horizontal="right"/>
    </xf>
    <xf numFmtId="3" fontId="21" fillId="4" borderId="0" xfId="0" applyNumberFormat="1" applyFont="1" applyFill="1" applyAlignment="1">
      <alignment vertical="center"/>
    </xf>
    <xf numFmtId="0" fontId="18" fillId="0" borderId="0" xfId="0" applyFont="1">
      <alignment vertical="top"/>
    </xf>
    <xf numFmtId="164" fontId="18" fillId="0" borderId="2" xfId="0" applyNumberFormat="1" applyFont="1" applyBorder="1">
      <alignment vertical="top"/>
    </xf>
    <xf numFmtId="0" fontId="8" fillId="0" borderId="0" xfId="0" applyFont="1">
      <alignment vertical="top"/>
    </xf>
    <xf numFmtId="0" fontId="21" fillId="4" borderId="0" xfId="0" applyFont="1" applyFill="1">
      <alignment vertical="top"/>
    </xf>
    <xf numFmtId="164" fontId="21" fillId="4" borderId="0" xfId="3" applyNumberFormat="1" applyFont="1" applyFill="1" applyAlignment="1">
      <alignment horizontal="right" vertical="top"/>
    </xf>
    <xf numFmtId="164" fontId="18" fillId="0" borderId="0" xfId="0" applyNumberFormat="1" applyFont="1">
      <alignment vertical="top"/>
    </xf>
    <xf numFmtId="0" fontId="17" fillId="0" borderId="0" xfId="0" applyFont="1" applyAlignment="1">
      <alignment horizontal="left" vertical="top" wrapText="1"/>
    </xf>
    <xf numFmtId="3" fontId="18" fillId="0" borderId="2" xfId="0" applyNumberFormat="1" applyFont="1" applyBorder="1" applyAlignment="1">
      <alignment horizontal="left" vertical="top"/>
    </xf>
    <xf numFmtId="3" fontId="18" fillId="0" borderId="2" xfId="0" applyNumberFormat="1" applyFont="1" applyBorder="1" applyAlignment="1">
      <alignment horizontal="right" vertical="top"/>
    </xf>
    <xf numFmtId="2" fontId="17" fillId="0" borderId="0" xfId="2" applyNumberFormat="1" applyFont="1">
      <alignment vertical="top"/>
    </xf>
    <xf numFmtId="168" fontId="17" fillId="0" borderId="0" xfId="3" applyNumberFormat="1" applyFont="1" applyAlignment="1">
      <alignment vertical="top"/>
    </xf>
    <xf numFmtId="1" fontId="0" fillId="0" borderId="0" xfId="0" applyNumberFormat="1">
      <alignment vertical="top"/>
    </xf>
    <xf numFmtId="0" fontId="19" fillId="2" borderId="0" xfId="0" applyFont="1" applyFill="1">
      <alignment vertical="top"/>
    </xf>
    <xf numFmtId="0" fontId="22" fillId="2" borderId="0" xfId="0" applyFont="1" applyFill="1">
      <alignment vertical="top"/>
    </xf>
    <xf numFmtId="0" fontId="20" fillId="2" borderId="3" xfId="0" applyFont="1" applyFill="1" applyBorder="1">
      <alignment vertical="top"/>
    </xf>
    <xf numFmtId="0" fontId="17" fillId="0" borderId="3" xfId="0" applyFont="1" applyBorder="1">
      <alignment vertical="top"/>
    </xf>
    <xf numFmtId="0" fontId="8" fillId="10" borderId="3" xfId="0" applyFont="1" applyFill="1" applyBorder="1">
      <alignment vertical="top"/>
    </xf>
    <xf numFmtId="0" fontId="15" fillId="4" borderId="0" xfId="0" applyFont="1" applyFill="1" applyAlignment="1">
      <alignment horizontal="center" vertical="center"/>
    </xf>
    <xf numFmtId="0" fontId="15" fillId="4" borderId="0" xfId="0" applyFont="1" applyFill="1">
      <alignment vertical="top"/>
    </xf>
    <xf numFmtId="10" fontId="2" fillId="0" borderId="0" xfId="2" applyNumberFormat="1" applyFont="1">
      <alignment vertical="top"/>
    </xf>
    <xf numFmtId="2" fontId="1" fillId="0" borderId="0" xfId="2" applyNumberFormat="1">
      <alignment vertical="top"/>
    </xf>
    <xf numFmtId="164" fontId="18" fillId="0" borderId="2" xfId="3" applyNumberFormat="1" applyFont="1" applyBorder="1" applyAlignment="1">
      <alignment horizontal="right" vertical="top"/>
    </xf>
    <xf numFmtId="43" fontId="17" fillId="0" borderId="0" xfId="0" applyNumberFormat="1" applyFont="1">
      <alignment vertical="top"/>
    </xf>
    <xf numFmtId="0" fontId="24" fillId="13" borderId="0" xfId="0" applyFont="1" applyFill="1">
      <alignment vertical="top"/>
    </xf>
    <xf numFmtId="43" fontId="24" fillId="13" borderId="0" xfId="3" applyNumberFormat="1" applyFont="1" applyFill="1" applyAlignment="1">
      <alignment vertical="top"/>
    </xf>
    <xf numFmtId="2" fontId="15" fillId="4" borderId="0" xfId="0" applyNumberFormat="1" applyFont="1" applyFill="1">
      <alignment vertical="top"/>
    </xf>
    <xf numFmtId="0" fontId="15" fillId="4" borderId="0" xfId="0" applyFont="1" applyFill="1" applyAlignment="1">
      <alignment vertical="top" wrapText="1"/>
    </xf>
    <xf numFmtId="0" fontId="16" fillId="5" borderId="3" xfId="0" applyFont="1" applyFill="1" applyBorder="1" applyAlignment="1">
      <alignment horizontal="center" vertical="center" wrapText="1"/>
    </xf>
    <xf numFmtId="0" fontId="18" fillId="2" borderId="3" xfId="0" applyFont="1" applyFill="1" applyBorder="1">
      <alignment vertical="top"/>
    </xf>
    <xf numFmtId="0" fontId="18" fillId="0" borderId="3" xfId="0" applyFont="1" applyBorder="1">
      <alignment vertical="top"/>
    </xf>
    <xf numFmtId="0" fontId="17" fillId="2" borderId="3" xfId="0" applyFont="1" applyFill="1" applyBorder="1">
      <alignment vertical="top"/>
    </xf>
    <xf numFmtId="0" fontId="14" fillId="4" borderId="0" xfId="0" applyFont="1" applyFill="1">
      <alignment vertical="top"/>
    </xf>
    <xf numFmtId="0" fontId="26" fillId="4" borderId="0" xfId="0" applyFont="1" applyFill="1" applyAlignment="1">
      <alignment vertical="top" wrapText="1"/>
    </xf>
    <xf numFmtId="0" fontId="15" fillId="4" borderId="3" xfId="0" applyFont="1" applyFill="1" applyBorder="1">
      <alignment vertical="top"/>
    </xf>
    <xf numFmtId="43" fontId="17" fillId="0" borderId="3" xfId="0" applyNumberFormat="1" applyFont="1" applyBorder="1">
      <alignment vertical="top"/>
    </xf>
    <xf numFmtId="0" fontId="9" fillId="0" borderId="1" xfId="0" applyFont="1" applyBorder="1">
      <alignment vertical="top"/>
    </xf>
    <xf numFmtId="0" fontId="15" fillId="2" borderId="0" xfId="0" applyFont="1" applyFill="1" applyAlignment="1">
      <alignment vertical="top" wrapText="1"/>
    </xf>
    <xf numFmtId="0" fontId="15" fillId="4" borderId="0" xfId="0" applyFont="1" applyFill="1" applyAlignment="1">
      <alignment horizontal="center" vertical="center" wrapText="1"/>
    </xf>
    <xf numFmtId="2" fontId="9" fillId="0" borderId="0" xfId="0" applyNumberFormat="1" applyFont="1">
      <alignment vertical="top"/>
    </xf>
    <xf numFmtId="10" fontId="9" fillId="0" borderId="0" xfId="2" applyNumberFormat="1" applyFont="1">
      <alignment vertical="top"/>
    </xf>
    <xf numFmtId="10" fontId="9" fillId="0" borderId="0" xfId="2" applyNumberFormat="1" applyFont="1" applyAlignment="1">
      <alignment horizontal="center" vertical="top"/>
    </xf>
    <xf numFmtId="1" fontId="9" fillId="0" borderId="0" xfId="0" applyNumberFormat="1" applyFont="1">
      <alignment vertical="top"/>
    </xf>
    <xf numFmtId="43" fontId="17" fillId="0" borderId="8" xfId="0" applyNumberFormat="1" applyFont="1" applyBorder="1">
      <alignment vertical="top"/>
    </xf>
    <xf numFmtId="0" fontId="17" fillId="0" borderId="8" xfId="0" applyFont="1" applyBorder="1">
      <alignment vertical="top"/>
    </xf>
    <xf numFmtId="165" fontId="1" fillId="0" borderId="0" xfId="2" applyNumberFormat="1">
      <alignment vertical="top"/>
    </xf>
    <xf numFmtId="0" fontId="15" fillId="2" borderId="0" xfId="0" applyFont="1" applyFill="1">
      <alignment vertical="top"/>
    </xf>
    <xf numFmtId="0" fontId="15" fillId="2" borderId="6" xfId="0" applyFont="1" applyFill="1" applyBorder="1">
      <alignment vertical="top"/>
    </xf>
    <xf numFmtId="165" fontId="0" fillId="0" borderId="9" xfId="0" applyNumberFormat="1" applyBorder="1">
      <alignment vertical="top"/>
    </xf>
    <xf numFmtId="10" fontId="1" fillId="0" borderId="9" xfId="2" applyNumberFormat="1" applyBorder="1">
      <alignment vertical="top"/>
    </xf>
    <xf numFmtId="10" fontId="0" fillId="0" borderId="9" xfId="0" applyNumberFormat="1" applyBorder="1">
      <alignment vertical="top"/>
    </xf>
    <xf numFmtId="165" fontId="15" fillId="4" borderId="9" xfId="0" applyNumberFormat="1" applyFont="1" applyFill="1" applyBorder="1">
      <alignment vertical="top"/>
    </xf>
    <xf numFmtId="165" fontId="15" fillId="15" borderId="9" xfId="0" applyNumberFormat="1" applyFont="1" applyFill="1" applyBorder="1">
      <alignment vertical="top"/>
    </xf>
    <xf numFmtId="165" fontId="15" fillId="16" borderId="9" xfId="0" applyNumberFormat="1" applyFont="1" applyFill="1" applyBorder="1">
      <alignment vertical="top"/>
    </xf>
    <xf numFmtId="0" fontId="0" fillId="0" borderId="8" xfId="0" applyBorder="1">
      <alignment vertical="top"/>
    </xf>
    <xf numFmtId="0" fontId="14" fillId="0" borderId="0" xfId="0" applyFont="1">
      <alignment vertical="top"/>
    </xf>
    <xf numFmtId="0" fontId="26" fillId="0" borderId="0" xfId="0" applyFont="1" applyAlignment="1">
      <alignment vertical="top" wrapText="1"/>
    </xf>
    <xf numFmtId="168" fontId="17" fillId="0" borderId="0" xfId="0" applyNumberFormat="1" applyFont="1">
      <alignment vertical="top"/>
    </xf>
    <xf numFmtId="168" fontId="17" fillId="0" borderId="9" xfId="0" applyNumberFormat="1" applyFont="1" applyBorder="1">
      <alignment vertical="top"/>
    </xf>
    <xf numFmtId="0" fontId="27" fillId="0" borderId="0" xfId="0" applyFont="1" applyAlignment="1">
      <alignment horizontal="right" vertical="top"/>
    </xf>
    <xf numFmtId="0" fontId="28" fillId="0" borderId="0" xfId="0" applyFont="1">
      <alignment vertical="top"/>
    </xf>
    <xf numFmtId="2" fontId="28" fillId="0" borderId="0" xfId="0" applyNumberFormat="1" applyFont="1">
      <alignment vertical="top"/>
    </xf>
    <xf numFmtId="10" fontId="29" fillId="0" borderId="0" xfId="0" applyNumberFormat="1" applyFont="1">
      <alignment vertical="top"/>
    </xf>
    <xf numFmtId="2" fontId="29" fillId="0" borderId="0" xfId="2" applyNumberFormat="1" applyFont="1">
      <alignment vertical="top"/>
    </xf>
    <xf numFmtId="10" fontId="9" fillId="0" borderId="0" xfId="0" applyNumberFormat="1" applyFont="1">
      <alignment vertical="top"/>
    </xf>
    <xf numFmtId="1" fontId="29" fillId="0" borderId="0" xfId="0" applyNumberFormat="1" applyFont="1">
      <alignment vertical="top"/>
    </xf>
    <xf numFmtId="10" fontId="28" fillId="0" borderId="0" xfId="0" applyNumberFormat="1" applyFont="1">
      <alignment vertical="top"/>
    </xf>
    <xf numFmtId="10" fontId="29" fillId="0" borderId="0" xfId="2" applyNumberFormat="1" applyFont="1">
      <alignment vertical="top"/>
    </xf>
    <xf numFmtId="164" fontId="30" fillId="0" borderId="0" xfId="3" applyNumberFormat="1" applyFont="1" applyAlignment="1">
      <alignment horizontal="right" vertical="top"/>
    </xf>
    <xf numFmtId="3" fontId="30" fillId="0" borderId="0" xfId="0" applyNumberFormat="1" applyFont="1">
      <alignment vertical="top"/>
    </xf>
    <xf numFmtId="0" fontId="30" fillId="0" borderId="0" xfId="0" applyFont="1">
      <alignment vertical="top"/>
    </xf>
    <xf numFmtId="0" fontId="31" fillId="0" borderId="0" xfId="0" applyFont="1">
      <alignment vertical="top"/>
    </xf>
    <xf numFmtId="3" fontId="31" fillId="0" borderId="0" xfId="0" applyNumberFormat="1" applyFont="1">
      <alignment vertical="top"/>
    </xf>
    <xf numFmtId="3" fontId="28" fillId="0" borderId="0" xfId="0" applyNumberFormat="1" applyFont="1">
      <alignment vertical="top"/>
    </xf>
    <xf numFmtId="164" fontId="28" fillId="0" borderId="0" xfId="0" applyNumberFormat="1" applyFont="1">
      <alignment vertical="top"/>
    </xf>
    <xf numFmtId="164" fontId="28" fillId="0" borderId="0" xfId="1" applyNumberFormat="1" applyFont="1">
      <alignment vertical="top"/>
    </xf>
    <xf numFmtId="41" fontId="28" fillId="0" borderId="0" xfId="0" applyNumberFormat="1" applyFont="1">
      <alignment vertical="top"/>
    </xf>
    <xf numFmtId="3" fontId="28" fillId="0" borderId="0" xfId="0" applyNumberFormat="1" applyFont="1" applyAlignment="1">
      <alignment horizontal="center" vertical="top"/>
    </xf>
    <xf numFmtId="3" fontId="29" fillId="0" borderId="0" xfId="0" applyNumberFormat="1" applyFont="1">
      <alignment vertical="top"/>
    </xf>
    <xf numFmtId="0" fontId="29" fillId="0" borderId="0" xfId="0" applyFont="1">
      <alignment vertical="top"/>
    </xf>
    <xf numFmtId="2" fontId="31" fillId="0" borderId="0" xfId="0" applyNumberFormat="1" applyFont="1">
      <alignment vertical="top"/>
    </xf>
    <xf numFmtId="167" fontId="31" fillId="0" borderId="3" xfId="0" applyNumberFormat="1" applyFont="1" applyBorder="1">
      <alignment vertical="top"/>
    </xf>
    <xf numFmtId="2" fontId="31" fillId="0" borderId="3" xfId="0" applyNumberFormat="1" applyFont="1" applyBorder="1">
      <alignment vertical="top"/>
    </xf>
    <xf numFmtId="0" fontId="23" fillId="14" borderId="3" xfId="0" applyFont="1" applyFill="1" applyBorder="1" applyAlignment="1">
      <alignment horizontal="center" vertical="top"/>
    </xf>
    <xf numFmtId="165" fontId="25" fillId="14" borderId="3" xfId="0" applyNumberFormat="1" applyFont="1" applyFill="1" applyBorder="1">
      <alignment vertical="top"/>
    </xf>
    <xf numFmtId="165" fontId="30" fillId="0" borderId="3" xfId="0" applyNumberFormat="1" applyFont="1" applyBorder="1">
      <alignment vertical="top"/>
    </xf>
    <xf numFmtId="165" fontId="18" fillId="0" borderId="3" xfId="0" applyNumberFormat="1" applyFont="1" applyBorder="1">
      <alignment vertical="top"/>
    </xf>
    <xf numFmtId="165" fontId="18" fillId="2" borderId="3" xfId="0" applyNumberFormat="1" applyFont="1" applyFill="1" applyBorder="1">
      <alignment vertical="top"/>
    </xf>
    <xf numFmtId="165" fontId="30" fillId="2" borderId="3" xfId="0" applyNumberFormat="1" applyFont="1" applyFill="1" applyBorder="1">
      <alignment vertical="top"/>
    </xf>
    <xf numFmtId="165" fontId="29" fillId="0" borderId="3" xfId="0" applyNumberFormat="1" applyFont="1" applyBorder="1">
      <alignment vertical="top"/>
    </xf>
    <xf numFmtId="165" fontId="9" fillId="0" borderId="3" xfId="0" applyNumberFormat="1" applyFont="1" applyBorder="1">
      <alignment vertical="top"/>
    </xf>
    <xf numFmtId="165" fontId="18" fillId="0" borderId="2" xfId="0" applyNumberFormat="1" applyFont="1" applyBorder="1">
      <alignment vertical="top"/>
    </xf>
    <xf numFmtId="165" fontId="30" fillId="0" borderId="0" xfId="0" applyNumberFormat="1" applyFont="1">
      <alignment vertical="top"/>
    </xf>
    <xf numFmtId="43" fontId="30" fillId="0" borderId="0" xfId="0" applyNumberFormat="1" applyFont="1">
      <alignment vertical="top"/>
    </xf>
    <xf numFmtId="43" fontId="30" fillId="0" borderId="8" xfId="0" applyNumberFormat="1" applyFont="1" applyBorder="1">
      <alignment vertical="top"/>
    </xf>
    <xf numFmtId="168" fontId="31" fillId="0" borderId="0" xfId="0" applyNumberFormat="1" applyFont="1">
      <alignment vertical="top"/>
    </xf>
    <xf numFmtId="168" fontId="31" fillId="0" borderId="8" xfId="0" applyNumberFormat="1" applyFont="1" applyBorder="1">
      <alignment vertical="top"/>
    </xf>
    <xf numFmtId="0" fontId="13" fillId="0" borderId="7" xfId="0" applyFont="1" applyBorder="1">
      <alignment vertical="top"/>
    </xf>
    <xf numFmtId="43" fontId="13" fillId="0" borderId="7" xfId="0" applyNumberFormat="1" applyFont="1" applyBorder="1">
      <alignment vertical="top"/>
    </xf>
    <xf numFmtId="0" fontId="14" fillId="14" borderId="3" xfId="0" applyFont="1" applyFill="1" applyBorder="1" applyAlignment="1">
      <alignment horizontal="center" vertical="top"/>
    </xf>
    <xf numFmtId="165" fontId="29" fillId="0" borderId="0" xfId="0" applyNumberFormat="1" applyFont="1" applyAlignment="1">
      <alignment horizontal="right" vertical="top"/>
    </xf>
    <xf numFmtId="41" fontId="30" fillId="0" borderId="0" xfId="0" applyNumberFormat="1" applyFont="1">
      <alignment vertical="top"/>
    </xf>
    <xf numFmtId="10" fontId="30" fillId="0" borderId="0" xfId="2" applyNumberFormat="1" applyFont="1">
      <alignment vertical="top"/>
    </xf>
    <xf numFmtId="165" fontId="29" fillId="0" borderId="0" xfId="0" applyNumberFormat="1" applyFont="1">
      <alignment vertical="top"/>
    </xf>
    <xf numFmtId="0" fontId="9" fillId="0" borderId="9" xfId="0" applyFont="1" applyBorder="1">
      <alignment vertical="top"/>
    </xf>
    <xf numFmtId="0" fontId="7" fillId="0" borderId="9" xfId="0" applyFont="1" applyBorder="1">
      <alignment vertical="top"/>
    </xf>
    <xf numFmtId="0" fontId="7" fillId="2" borderId="9" xfId="0" applyFont="1" applyFill="1" applyBorder="1">
      <alignment vertical="top"/>
    </xf>
    <xf numFmtId="0" fontId="9" fillId="2" borderId="9" xfId="0" applyFont="1" applyFill="1" applyBorder="1" applyAlignment="1">
      <alignment horizontal="center" vertical="top"/>
    </xf>
    <xf numFmtId="0" fontId="9" fillId="0" borderId="9" xfId="0" applyFont="1" applyBorder="1" applyAlignment="1">
      <alignment horizontal="center" vertical="top"/>
    </xf>
    <xf numFmtId="15" fontId="9" fillId="2" borderId="9" xfId="0" applyNumberFormat="1" applyFont="1" applyFill="1" applyBorder="1" applyAlignment="1">
      <alignment horizontal="center" vertical="top"/>
    </xf>
    <xf numFmtId="0" fontId="17" fillId="2" borderId="9" xfId="0" applyFont="1" applyFill="1" applyBorder="1" applyAlignment="1">
      <alignment horizontal="center" vertical="top"/>
    </xf>
    <xf numFmtId="0" fontId="27" fillId="0" borderId="0" xfId="0" applyFont="1" applyAlignment="1">
      <alignment horizontal="center" vertical="top"/>
    </xf>
    <xf numFmtId="0" fontId="7" fillId="2" borderId="0" xfId="0" applyFont="1" applyFill="1">
      <alignment vertical="top"/>
    </xf>
    <xf numFmtId="0" fontId="7" fillId="2" borderId="9" xfId="0" applyFont="1" applyFill="1" applyBorder="1" applyAlignment="1">
      <alignment horizontal="center" vertical="top"/>
    </xf>
    <xf numFmtId="0" fontId="7" fillId="0" borderId="9" xfId="0" applyFont="1" applyBorder="1" applyAlignment="1">
      <alignment horizontal="center" vertical="top"/>
    </xf>
    <xf numFmtId="165" fontId="29" fillId="0" borderId="9" xfId="0" applyNumberFormat="1" applyFont="1" applyBorder="1" applyAlignment="1">
      <alignment horizontal="right" vertical="top"/>
    </xf>
    <xf numFmtId="0" fontId="15" fillId="4" borderId="9" xfId="0" applyFont="1" applyFill="1" applyBorder="1" applyAlignment="1">
      <alignment horizontal="center" vertical="top"/>
    </xf>
    <xf numFmtId="165" fontId="28" fillId="0" borderId="9" xfId="0" applyNumberFormat="1" applyFont="1" applyBorder="1" applyAlignment="1">
      <alignment horizontal="right" vertical="top"/>
    </xf>
    <xf numFmtId="0" fontId="13" fillId="0" borderId="9" xfId="0" applyFont="1" applyBorder="1">
      <alignment vertical="top"/>
    </xf>
    <xf numFmtId="0" fontId="13" fillId="0" borderId="9" xfId="0" applyFont="1" applyBorder="1" applyAlignment="1">
      <alignment horizontal="center" vertical="top"/>
    </xf>
    <xf numFmtId="2" fontId="7" fillId="0" borderId="0" xfId="0" applyNumberFormat="1" applyFont="1">
      <alignment vertical="top"/>
    </xf>
    <xf numFmtId="0" fontId="13" fillId="0" borderId="1" xfId="0" applyFont="1" applyBorder="1" applyAlignment="1">
      <alignment horizontal="center" vertical="top"/>
    </xf>
    <xf numFmtId="0" fontId="7" fillId="0" borderId="10" xfId="0" applyFont="1" applyBorder="1">
      <alignment vertical="top"/>
    </xf>
    <xf numFmtId="0" fontId="17" fillId="0" borderId="3" xfId="0" applyFont="1" applyBorder="1" applyAlignment="1">
      <alignment horizontal="center" vertical="top"/>
    </xf>
    <xf numFmtId="10" fontId="17" fillId="0" borderId="3" xfId="0" applyNumberFormat="1" applyFont="1" applyBorder="1" applyAlignment="1">
      <alignment horizontal="center" vertical="top"/>
    </xf>
    <xf numFmtId="0" fontId="0" fillId="0" borderId="3" xfId="0" applyBorder="1" applyAlignment="1">
      <alignment horizontal="center" vertical="top"/>
    </xf>
    <xf numFmtId="0" fontId="14" fillId="16" borderId="0" xfId="0" applyFont="1" applyFill="1" applyAlignment="1">
      <alignment horizontal="center" vertical="center"/>
    </xf>
    <xf numFmtId="41" fontId="0" fillId="0" borderId="0" xfId="0" applyNumberFormat="1">
      <alignment vertical="top"/>
    </xf>
    <xf numFmtId="165" fontId="14" fillId="14" borderId="3" xfId="0" applyNumberFormat="1" applyFont="1" applyFill="1" applyBorder="1" applyAlignment="1">
      <alignment horizontal="center" vertical="top"/>
    </xf>
    <xf numFmtId="0" fontId="23" fillId="4" borderId="0" xfId="0" applyFont="1" applyFill="1">
      <alignment vertical="top"/>
    </xf>
    <xf numFmtId="0" fontId="23" fillId="9" borderId="0" xfId="0" applyFont="1" applyFill="1">
      <alignment vertical="top"/>
    </xf>
    <xf numFmtId="0" fontId="23" fillId="9" borderId="0" xfId="0" applyFont="1" applyFill="1" applyAlignment="1">
      <alignment horizontal="right" vertical="top"/>
    </xf>
    <xf numFmtId="165" fontId="17" fillId="0" borderId="0" xfId="2" applyNumberFormat="1" applyFont="1">
      <alignment vertical="top"/>
    </xf>
    <xf numFmtId="165" fontId="17" fillId="0" borderId="0" xfId="0" applyNumberFormat="1" applyFont="1">
      <alignment vertical="top"/>
    </xf>
    <xf numFmtId="0" fontId="17" fillId="0" borderId="10" xfId="0" applyFont="1" applyBorder="1">
      <alignment vertical="top"/>
    </xf>
    <xf numFmtId="165" fontId="17" fillId="0" borderId="10" xfId="2" applyNumberFormat="1" applyFont="1" applyBorder="1">
      <alignment vertical="top"/>
    </xf>
    <xf numFmtId="169" fontId="18" fillId="0" borderId="0" xfId="2" applyNumberFormat="1" applyFont="1">
      <alignment vertical="top"/>
    </xf>
    <xf numFmtId="10" fontId="18" fillId="0" borderId="0" xfId="2" applyNumberFormat="1" applyFont="1">
      <alignment vertical="top"/>
    </xf>
    <xf numFmtId="41" fontId="30" fillId="0" borderId="10" xfId="0" applyNumberFormat="1" applyFont="1" applyBorder="1">
      <alignment vertical="top"/>
    </xf>
    <xf numFmtId="165" fontId="29" fillId="0" borderId="10" xfId="0" applyNumberFormat="1" applyFont="1" applyBorder="1">
      <alignment vertical="top"/>
    </xf>
    <xf numFmtId="10" fontId="9" fillId="0" borderId="10" xfId="2" applyNumberFormat="1" applyFont="1" applyBorder="1">
      <alignment vertical="top"/>
    </xf>
    <xf numFmtId="0" fontId="18" fillId="0" borderId="8" xfId="0" applyFont="1" applyBorder="1">
      <alignment vertical="top"/>
    </xf>
    <xf numFmtId="165" fontId="18" fillId="0" borderId="8" xfId="0" applyNumberFormat="1" applyFont="1" applyBorder="1">
      <alignment vertical="top"/>
    </xf>
    <xf numFmtId="165" fontId="18" fillId="0" borderId="0" xfId="0" applyNumberFormat="1" applyFont="1">
      <alignment vertical="top"/>
    </xf>
    <xf numFmtId="0" fontId="27" fillId="0" borderId="0" xfId="0" applyFont="1">
      <alignment vertical="top"/>
    </xf>
    <xf numFmtId="10" fontId="7" fillId="0" borderId="0" xfId="2" applyNumberFormat="1" applyFont="1">
      <alignment vertical="top"/>
    </xf>
    <xf numFmtId="0" fontId="23" fillId="2" borderId="0" xfId="0" applyFont="1" applyFill="1" applyAlignment="1">
      <alignment horizontal="center" vertical="center"/>
    </xf>
    <xf numFmtId="0" fontId="32" fillId="0" borderId="0" xfId="0" applyFont="1" applyAlignment="1"/>
    <xf numFmtId="0" fontId="27" fillId="0" borderId="0" xfId="0" applyFont="1" applyAlignment="1">
      <alignment horizontal="left" vertical="top"/>
    </xf>
    <xf numFmtId="0" fontId="23" fillId="4" borderId="12" xfId="0" applyFont="1" applyFill="1" applyBorder="1">
      <alignment vertical="top"/>
    </xf>
    <xf numFmtId="0" fontId="17" fillId="0" borderId="0" xfId="0" applyFont="1" applyAlignment="1">
      <alignment vertical="top" wrapText="1"/>
    </xf>
    <xf numFmtId="0" fontId="17" fillId="0" borderId="8" xfId="0" applyFont="1" applyBorder="1" applyAlignment="1">
      <alignment vertical="top" wrapText="1"/>
    </xf>
    <xf numFmtId="168" fontId="0" fillId="0" borderId="0" xfId="0" applyNumberFormat="1">
      <alignment vertical="top"/>
    </xf>
    <xf numFmtId="168" fontId="17" fillId="0" borderId="8" xfId="0" applyNumberFormat="1" applyFont="1" applyBorder="1">
      <alignment vertical="top"/>
    </xf>
    <xf numFmtId="10" fontId="7" fillId="0" borderId="0" xfId="0" applyNumberFormat="1" applyFont="1">
      <alignment vertical="top"/>
    </xf>
    <xf numFmtId="3" fontId="9" fillId="0" borderId="0" xfId="0" applyNumberFormat="1" applyFont="1">
      <alignment vertical="top"/>
    </xf>
    <xf numFmtId="165" fontId="9" fillId="0" borderId="0" xfId="0" applyNumberFormat="1" applyFont="1">
      <alignment vertical="top"/>
    </xf>
    <xf numFmtId="0" fontId="7" fillId="0" borderId="8" xfId="0" applyFont="1" applyBorder="1">
      <alignment vertical="top"/>
    </xf>
    <xf numFmtId="165" fontId="17" fillId="0" borderId="8" xfId="0" applyNumberFormat="1" applyFont="1" applyBorder="1">
      <alignment vertical="top"/>
    </xf>
    <xf numFmtId="168" fontId="18" fillId="0" borderId="8" xfId="0" applyNumberFormat="1" applyFont="1" applyBorder="1">
      <alignment vertical="top"/>
    </xf>
    <xf numFmtId="168" fontId="7" fillId="0" borderId="0" xfId="0" applyNumberFormat="1" applyFont="1">
      <alignment vertical="top"/>
    </xf>
    <xf numFmtId="0" fontId="0" fillId="0" borderId="13" xfId="0" applyBorder="1">
      <alignment vertical="top"/>
    </xf>
    <xf numFmtId="0" fontId="7" fillId="0" borderId="0" xfId="0" applyFont="1" applyAlignment="1">
      <alignment horizontal="right" vertical="top"/>
    </xf>
    <xf numFmtId="0" fontId="7" fillId="0" borderId="8" xfId="0" applyFont="1" applyBorder="1" applyAlignment="1">
      <alignment horizontal="right" vertical="top"/>
    </xf>
    <xf numFmtId="165" fontId="15" fillId="4" borderId="11" xfId="0" applyNumberFormat="1" applyFont="1" applyFill="1" applyBorder="1">
      <alignment vertical="top"/>
    </xf>
    <xf numFmtId="0" fontId="7" fillId="0" borderId="14" xfId="0" applyFont="1" applyBorder="1">
      <alignment vertical="top"/>
    </xf>
    <xf numFmtId="0" fontId="0" fillId="0" borderId="15" xfId="0" applyBorder="1">
      <alignment vertical="top"/>
    </xf>
    <xf numFmtId="8" fontId="17" fillId="0" borderId="0" xfId="0" applyNumberFormat="1" applyFont="1">
      <alignment vertical="top"/>
    </xf>
    <xf numFmtId="8" fontId="18" fillId="0" borderId="0" xfId="0" applyNumberFormat="1" applyFont="1">
      <alignment vertical="top"/>
    </xf>
    <xf numFmtId="15" fontId="17" fillId="0" borderId="0" xfId="0" applyNumberFormat="1" applyFont="1" applyAlignment="1">
      <alignment horizontal="right" vertical="top"/>
    </xf>
    <xf numFmtId="0" fontId="15" fillId="4" borderId="0" xfId="0" applyFont="1" applyFill="1" applyAlignment="1">
      <alignment horizontal="left" vertical="top"/>
    </xf>
    <xf numFmtId="0" fontId="32" fillId="0" borderId="0" xfId="0" applyFont="1">
      <alignment vertical="top"/>
    </xf>
    <xf numFmtId="9" fontId="17" fillId="0" borderId="0" xfId="0" applyNumberFormat="1" applyFont="1">
      <alignment vertical="top"/>
    </xf>
    <xf numFmtId="9" fontId="18" fillId="0" borderId="0" xfId="0" applyNumberFormat="1" applyFont="1">
      <alignment vertical="top"/>
    </xf>
    <xf numFmtId="165" fontId="28" fillId="0" borderId="0" xfId="0" applyNumberFormat="1" applyFont="1" applyAlignment="1">
      <alignment horizontal="right" vertical="top"/>
    </xf>
    <xf numFmtId="8" fontId="20" fillId="0" borderId="0" xfId="0" applyNumberFormat="1" applyFont="1">
      <alignment vertical="top"/>
    </xf>
    <xf numFmtId="0" fontId="18" fillId="0" borderId="8" xfId="0" applyFont="1" applyBorder="1" applyAlignment="1">
      <alignment horizontal="right" vertical="top"/>
    </xf>
    <xf numFmtId="3" fontId="18" fillId="0" borderId="8" xfId="0" applyNumberFormat="1" applyFont="1" applyBorder="1">
      <alignment vertical="top"/>
    </xf>
    <xf numFmtId="168" fontId="18" fillId="0" borderId="0" xfId="2" applyNumberFormat="1" applyFont="1">
      <alignment vertical="top"/>
    </xf>
    <xf numFmtId="3" fontId="30" fillId="0" borderId="8" xfId="0" applyNumberFormat="1" applyFont="1" applyBorder="1">
      <alignment vertical="top"/>
    </xf>
    <xf numFmtId="10" fontId="18" fillId="0" borderId="8" xfId="2" applyNumberFormat="1" applyFont="1" applyBorder="1">
      <alignment vertical="top"/>
    </xf>
    <xf numFmtId="10" fontId="18" fillId="0" borderId="2" xfId="2" applyNumberFormat="1" applyFont="1" applyBorder="1">
      <alignment vertical="top"/>
    </xf>
    <xf numFmtId="0" fontId="31" fillId="0" borderId="8" xfId="0" applyFont="1" applyBorder="1">
      <alignment vertical="top"/>
    </xf>
    <xf numFmtId="165" fontId="31" fillId="0" borderId="8" xfId="0" applyNumberFormat="1" applyFont="1" applyBorder="1">
      <alignment vertical="top"/>
    </xf>
    <xf numFmtId="168" fontId="30" fillId="0" borderId="0" xfId="0" applyNumberFormat="1" applyFont="1">
      <alignment vertical="top"/>
    </xf>
    <xf numFmtId="168" fontId="30" fillId="0" borderId="8" xfId="0" applyNumberFormat="1" applyFont="1" applyBorder="1">
      <alignment vertical="top"/>
    </xf>
    <xf numFmtId="165" fontId="30" fillId="0" borderId="8" xfId="0" applyNumberFormat="1" applyFont="1" applyBorder="1">
      <alignment vertical="top"/>
    </xf>
    <xf numFmtId="165" fontId="31" fillId="0" borderId="0" xfId="0" applyNumberFormat="1" applyFont="1">
      <alignment vertical="top"/>
    </xf>
    <xf numFmtId="168" fontId="18" fillId="0" borderId="0" xfId="0" applyNumberFormat="1" applyFont="1">
      <alignment vertical="top"/>
    </xf>
    <xf numFmtId="165" fontId="9" fillId="0" borderId="10" xfId="0" applyNumberFormat="1" applyFont="1" applyBorder="1">
      <alignment vertical="top"/>
    </xf>
    <xf numFmtId="165" fontId="28" fillId="0" borderId="0" xfId="0" applyNumberFormat="1" applyFont="1">
      <alignment vertical="top"/>
    </xf>
    <xf numFmtId="165" fontId="28" fillId="0" borderId="10" xfId="0" applyNumberFormat="1" applyFont="1" applyBorder="1">
      <alignment vertical="top"/>
    </xf>
    <xf numFmtId="165" fontId="9" fillId="0" borderId="8" xfId="0" applyNumberFormat="1" applyFont="1" applyBorder="1">
      <alignment vertical="top"/>
    </xf>
    <xf numFmtId="168" fontId="28" fillId="0" borderId="0" xfId="0" applyNumberFormat="1" applyFont="1">
      <alignment vertical="top"/>
    </xf>
    <xf numFmtId="168" fontId="28" fillId="0" borderId="8" xfId="0" applyNumberFormat="1" applyFont="1" applyBorder="1">
      <alignment vertical="top"/>
    </xf>
    <xf numFmtId="168" fontId="30" fillId="0" borderId="10" xfId="0" applyNumberFormat="1" applyFont="1" applyBorder="1">
      <alignment vertical="top"/>
    </xf>
    <xf numFmtId="165" fontId="31" fillId="0" borderId="10" xfId="0" applyNumberFormat="1" applyFont="1" applyBorder="1">
      <alignment vertical="top"/>
    </xf>
    <xf numFmtId="9" fontId="9" fillId="0" borderId="0" xfId="2" applyFont="1">
      <alignment vertical="top"/>
    </xf>
    <xf numFmtId="8" fontId="28" fillId="0" borderId="0" xfId="0" applyNumberFormat="1" applyFont="1">
      <alignment vertical="top"/>
    </xf>
    <xf numFmtId="8" fontId="28" fillId="0" borderId="8" xfId="0" applyNumberFormat="1" applyFont="1" applyBorder="1">
      <alignment vertical="top"/>
    </xf>
    <xf numFmtId="10" fontId="18" fillId="0" borderId="8" xfId="2" applyNumberFormat="1" applyFont="1" applyBorder="1" applyAlignment="1">
      <alignment horizontal="center" vertical="top"/>
    </xf>
    <xf numFmtId="0" fontId="7" fillId="0" borderId="0" xfId="0" applyFont="1" applyAlignment="1">
      <alignment horizontal="left" vertical="top" wrapText="1"/>
    </xf>
    <xf numFmtId="0" fontId="15" fillId="4" borderId="0" xfId="0" applyFont="1" applyFill="1" applyAlignment="1">
      <alignment horizontal="center" vertical="top"/>
    </xf>
    <xf numFmtId="0" fontId="7" fillId="0" borderId="0" xfId="0" applyFont="1" applyAlignment="1">
      <alignment horizontal="center" vertical="top" wrapText="1"/>
    </xf>
    <xf numFmtId="0" fontId="15" fillId="4" borderId="0" xfId="0" applyFont="1" applyFill="1" applyAlignment="1">
      <alignment horizontal="center" vertical="center"/>
    </xf>
    <xf numFmtId="0" fontId="16" fillId="5" borderId="0" xfId="0" applyFont="1" applyFill="1" applyAlignment="1">
      <alignment horizontal="center" vertical="center" wrapText="1"/>
    </xf>
    <xf numFmtId="0" fontId="14" fillId="11" borderId="5" xfId="0" applyFont="1" applyFill="1" applyBorder="1" applyAlignment="1">
      <alignment horizontal="center" vertical="top"/>
    </xf>
    <xf numFmtId="0" fontId="23" fillId="4" borderId="4" xfId="0" applyFont="1" applyFill="1" applyBorder="1" applyAlignment="1">
      <alignment horizontal="center" vertical="top"/>
    </xf>
    <xf numFmtId="0" fontId="14" fillId="12" borderId="5" xfId="0" applyFont="1" applyFill="1" applyBorder="1" applyAlignment="1">
      <alignment horizontal="center" vertical="top"/>
    </xf>
    <xf numFmtId="0" fontId="14" fillId="2" borderId="0" xfId="0" applyFont="1" applyFill="1" applyAlignment="1">
      <alignment horizontal="center" vertical="top"/>
    </xf>
    <xf numFmtId="0" fontId="33" fillId="0" borderId="0" xfId="0" applyFont="1">
      <alignment vertical="top"/>
    </xf>
    <xf numFmtId="0" fontId="17" fillId="0" borderId="0" xfId="0" applyFont="1" applyBorder="1">
      <alignment vertical="top"/>
    </xf>
    <xf numFmtId="8" fontId="17" fillId="0" borderId="0" xfId="0" applyNumberFormat="1" applyFont="1" applyBorder="1" applyAlignment="1">
      <alignment horizontal="right" vertical="top"/>
    </xf>
    <xf numFmtId="0" fontId="17" fillId="0" borderId="0" xfId="0" applyFont="1" applyFill="1" applyBorder="1">
      <alignment vertical="top"/>
    </xf>
    <xf numFmtId="8" fontId="17" fillId="0" borderId="8" xfId="0" applyNumberFormat="1" applyFont="1" applyBorder="1">
      <alignment vertical="top"/>
    </xf>
    <xf numFmtId="8" fontId="17" fillId="0" borderId="0" xfId="0" applyNumberFormat="1" applyFont="1" applyBorder="1">
      <alignment vertical="top"/>
    </xf>
    <xf numFmtId="0" fontId="18" fillId="0" borderId="0" xfId="0" applyFont="1" applyFill="1" applyBorder="1">
      <alignment vertical="top"/>
    </xf>
    <xf numFmtId="0" fontId="17" fillId="0" borderId="8" xfId="0" applyFont="1" applyFill="1" applyBorder="1">
      <alignment vertical="top"/>
    </xf>
  </cellXfs>
  <cellStyles count="4">
    <cellStyle name="Comma" xfId="1" builtinId="3"/>
    <cellStyle name="Currency" xfId="3" builtinId="4"/>
    <cellStyle name="Normal" xfId="0" builtinId="0"/>
    <cellStyle name="Per cent" xfId="2" builtinId="5"/>
  </cellStyles>
  <dxfs count="6">
    <dxf>
      <font>
        <strike val="0"/>
        <outline val="0"/>
        <shadow val="0"/>
        <u val="none"/>
        <vertAlign val="baseline"/>
        <sz val="9"/>
        <color auto="1"/>
        <name val="Arial"/>
        <scheme val="none"/>
      </font>
      <numFmt numFmtId="12" formatCode="&quot;₹&quot;#,##0.00_);[Red]\(&quot;₹&quot;#,##0.00\)"/>
    </dxf>
    <dxf>
      <font>
        <b val="0"/>
        <i val="0"/>
        <strike val="0"/>
        <condense val="0"/>
        <extend val="0"/>
        <outline val="0"/>
        <shadow val="0"/>
        <u val="none"/>
        <vertAlign val="baseline"/>
        <sz val="9"/>
        <color auto="1"/>
        <name val="Arial"/>
        <scheme val="none"/>
      </font>
      <numFmt numFmtId="13" formatCode="0%"/>
    </dxf>
    <dxf>
      <font>
        <b val="0"/>
        <i val="0"/>
        <strike val="0"/>
        <condense val="0"/>
        <extend val="0"/>
        <outline val="0"/>
        <shadow val="0"/>
        <u val="none"/>
        <vertAlign val="baseline"/>
        <sz val="9"/>
        <color auto="1"/>
        <name val="Arial"/>
        <scheme val="none"/>
      </font>
      <numFmt numFmtId="12" formatCode="&quot;₹&quot;#,##0.00_);[Red]\(&quot;₹&quot;#,##0.00\)"/>
    </dxf>
    <dxf>
      <font>
        <b val="0"/>
        <i val="0"/>
        <strike val="0"/>
        <condense val="0"/>
        <extend val="0"/>
        <outline val="0"/>
        <shadow val="0"/>
        <u val="none"/>
        <vertAlign val="baseline"/>
        <sz val="9"/>
        <color auto="1"/>
        <name val="Arial"/>
        <scheme val="none"/>
      </font>
    </dxf>
    <dxf>
      <font>
        <strike val="0"/>
        <outline val="0"/>
        <shadow val="0"/>
        <u val="none"/>
        <vertAlign val="baseline"/>
        <sz val="9"/>
        <color auto="1"/>
        <name val="Arial"/>
        <scheme val="none"/>
      </font>
    </dxf>
    <dxf>
      <font>
        <b/>
        <i val="0"/>
        <strike val="0"/>
        <condense val="0"/>
        <extend val="0"/>
        <outline val="0"/>
        <shadow val="0"/>
        <u val="none"/>
        <vertAlign val="baseline"/>
        <sz val="10"/>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'13_Executive_Summary'!$A$19</c:f>
              <c:strCache>
                <c:ptCount val="1"/>
                <c:pt idx="0">
                  <c:v>Revenue from Operations (₹ Cr)</c:v>
                </c:pt>
              </c:strCache>
            </c:strRef>
          </c:tx>
          <c:spPr>
            <a:solidFill>
              <a:srgbClr val="00206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'13_Executive_Summary'!$B$17:$G$18</c:f>
              <c:strCache>
                <c:ptCount val="6"/>
                <c:pt idx="0">
                  <c:v>FY 2025-26 (Act)</c:v>
                </c:pt>
                <c:pt idx="1">
                  <c:v>FY 2026-27 (Proj)</c:v>
                </c:pt>
                <c:pt idx="2">
                  <c:v>FY 2027-28 (Proj)</c:v>
                </c:pt>
                <c:pt idx="3">
                  <c:v>FY 2028-29 (Proj)</c:v>
                </c:pt>
                <c:pt idx="4">
                  <c:v>FY 2029-30 (Proj)</c:v>
                </c:pt>
                <c:pt idx="5">
                  <c:v>FY 2030-31 (Proj)</c:v>
                </c:pt>
              </c:strCache>
            </c:strRef>
          </c:cat>
          <c:val>
            <c:numRef>
              <c:f>'13_Executive_Summary'!$B$19:$G$19</c:f>
              <c:numCache>
                <c:formatCode>_(* #,##0_);_(* \(#,##0\);_(* "-"_);_(@_)</c:formatCode>
                <c:ptCount val="6"/>
                <c:pt idx="0">
                  <c:v>1175919</c:v>
                </c:pt>
                <c:pt idx="1">
                  <c:v>1267585.8993763067</c:v>
                </c:pt>
                <c:pt idx="2">
                  <c:v>1362597.6715934149</c:v>
                </c:pt>
                <c:pt idx="3">
                  <c:v>1459704.1641559538</c:v>
                </c:pt>
                <c:pt idx="4">
                  <c:v>1557459.7801598764</c:v>
                </c:pt>
                <c:pt idx="5">
                  <c:v>1654271.7487037757</c:v>
                </c:pt>
              </c:numCache>
            </c:numRef>
          </c:val>
          <c:extLst>
            <c:ext xmlns:c16="http://schemas.microsoft.com/office/drawing/2014/chart" uri="{C3380CC4-5D6E-409C-BE32-E72D297353CC}">
              <c16:uniqueId val="{00000000-45B6-2B44-96A8-E5AA9A218502}"/>
            </c:ext>
          </c:extLst>
        </c:ser>
        <c:dLbls>
          <c:showLegendKey val="0"/>
          <c:showVal val="0"/>
          <c:showCatName val="0"/>
          <c:showSerName val="0"/>
          <c:showPercent val="0"/>
          <c:showBubbleSize val="0"/>
        </c:dLbls>
        <c:gapWidth val="50"/>
        <c:overlap val="100"/>
        <c:axId val="558547839"/>
        <c:axId val="558553663"/>
      </c:barChart>
      <c:lineChart>
        <c:grouping val="stacked"/>
        <c:varyColors val="0"/>
        <c:ser>
          <c:idx val="1"/>
          <c:order val="1"/>
          <c:tx>
            <c:strRef>
              <c:f>'13_Executive_Summary'!$A$20</c:f>
              <c:strCache>
                <c:ptCount val="1"/>
                <c:pt idx="0">
                  <c:v>EBITDA (₹ Cr)</c:v>
                </c:pt>
              </c:strCache>
            </c:strRef>
          </c:tx>
          <c:spPr>
            <a:ln w="31750" cap="sq">
              <a:solidFill>
                <a:srgbClr val="C00000"/>
              </a:solidFill>
              <a:miter lim="800000"/>
            </a:ln>
            <a:effectLst/>
          </c:spPr>
          <c:marker>
            <c:symbol val="circle"/>
            <c:size val="5"/>
            <c:spPr>
              <a:solidFill>
                <a:srgbClr val="C00000"/>
              </a:solidFill>
              <a:ln w="9525">
                <a:solidFill>
                  <a:schemeClr val="accent2"/>
                </a:solidFill>
              </a:ln>
              <a:effectLst/>
            </c:spPr>
          </c:marker>
          <c:cat>
            <c:strRef>
              <c:f>'13_Executive_Summary'!$B$17:$G$18</c:f>
              <c:strCache>
                <c:ptCount val="6"/>
                <c:pt idx="0">
                  <c:v>FY 2025-26 (Act)</c:v>
                </c:pt>
                <c:pt idx="1">
                  <c:v>FY 2026-27 (Proj)</c:v>
                </c:pt>
                <c:pt idx="2">
                  <c:v>FY 2027-28 (Proj)</c:v>
                </c:pt>
                <c:pt idx="3">
                  <c:v>FY 2028-29 (Proj)</c:v>
                </c:pt>
                <c:pt idx="4">
                  <c:v>FY 2029-30 (Proj)</c:v>
                </c:pt>
                <c:pt idx="5">
                  <c:v>FY 2030-31 (Proj)</c:v>
                </c:pt>
              </c:strCache>
            </c:strRef>
          </c:cat>
          <c:val>
            <c:numRef>
              <c:f>'13_Executive_Summary'!$B$20:$G$20</c:f>
              <c:numCache>
                <c:formatCode>_(* #,##0_);_(* \(#,##0\);_(* "-"_);_(@_)</c:formatCode>
                <c:ptCount val="6"/>
                <c:pt idx="0">
                  <c:v>207911</c:v>
                </c:pt>
                <c:pt idx="1">
                  <c:v>230018.10717607697</c:v>
                </c:pt>
                <c:pt idx="2">
                  <c:v>254854.9679893362</c:v>
                </c:pt>
                <c:pt idx="3">
                  <c:v>280832.0243113708</c:v>
                </c:pt>
                <c:pt idx="4">
                  <c:v>307586.0417772287</c:v>
                </c:pt>
                <c:pt idx="5">
                  <c:v>334706.36590083677</c:v>
                </c:pt>
              </c:numCache>
            </c:numRef>
          </c:val>
          <c:smooth val="1"/>
          <c:extLst>
            <c:ext xmlns:c16="http://schemas.microsoft.com/office/drawing/2014/chart" uri="{C3380CC4-5D6E-409C-BE32-E72D297353CC}">
              <c16:uniqueId val="{00000001-45B6-2B44-96A8-E5AA9A218502}"/>
            </c:ext>
          </c:extLst>
        </c:ser>
        <c:dLbls>
          <c:showLegendKey val="0"/>
          <c:showVal val="0"/>
          <c:showCatName val="0"/>
          <c:showSerName val="0"/>
          <c:showPercent val="0"/>
          <c:showBubbleSize val="0"/>
        </c:dLbls>
        <c:marker val="1"/>
        <c:smooth val="0"/>
        <c:axId val="559564095"/>
        <c:axId val="559568575"/>
      </c:lineChart>
      <c:catAx>
        <c:axId val="55854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8553663"/>
        <c:crosses val="autoZero"/>
        <c:auto val="1"/>
        <c:lblAlgn val="ctr"/>
        <c:lblOffset val="100"/>
        <c:noMultiLvlLbl val="0"/>
      </c:catAx>
      <c:valAx>
        <c:axId val="558553663"/>
        <c:scaling>
          <c:orientation val="minMax"/>
        </c:scaling>
        <c:delete val="0"/>
        <c:axPos val="l"/>
        <c:majorGridlines>
          <c:spPr>
            <a:ln w="222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8547839"/>
        <c:crosses val="autoZero"/>
        <c:crossBetween val="between"/>
        <c:majorUnit val="400000"/>
        <c:dispUnits>
          <c:builtInUnit val="thousands"/>
          <c:dispUnitsLbl>
            <c:layout>
              <c:manualLayout>
                <c:xMode val="edge"/>
                <c:yMode val="edge"/>
                <c:x val="3.021978021978022E-2"/>
                <c:y val="0.36964787316144576"/>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ispUnitsLbl>
        </c:dispUnits>
      </c:valAx>
      <c:valAx>
        <c:axId val="559568575"/>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9564095"/>
        <c:crosses val="max"/>
        <c:crossBetween val="between"/>
        <c:majorUnit val="80000"/>
        <c:dispUnits>
          <c:builtInUnit val="thousands"/>
          <c:dispUnitsLbl>
            <c:layout>
              <c:manualLayout>
                <c:xMode val="edge"/>
                <c:yMode val="edge"/>
                <c:x val="0.92800813359868473"/>
                <c:y val="0.37425809856879733"/>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ispUnitsLbl>
        </c:dispUnits>
      </c:valAx>
      <c:catAx>
        <c:axId val="559564095"/>
        <c:scaling>
          <c:orientation val="minMax"/>
        </c:scaling>
        <c:delete val="1"/>
        <c:axPos val="b"/>
        <c:numFmt formatCode="General" sourceLinked="1"/>
        <c:majorTickMark val="out"/>
        <c:minorTickMark val="none"/>
        <c:tickLblPos val="nextTo"/>
        <c:crossAx val="5595685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'13_Executive_Summary'!$A$21</c:f>
              <c:strCache>
                <c:ptCount val="1"/>
                <c:pt idx="0">
                  <c:v>EBITDA Margin (%)</c:v>
                </c:pt>
              </c:strCache>
            </c:strRef>
          </c:tx>
          <c:spPr>
            <a:ln w="28575" cap="rnd">
              <a:solidFill>
                <a:srgbClr val="002060"/>
              </a:solidFill>
              <a:round/>
            </a:ln>
            <a:effectLst/>
          </c:spPr>
          <c:marker>
            <c:symbol val="circle"/>
            <c:size val="5"/>
            <c:spPr>
              <a:solidFill>
                <a:srgbClr val="C00000"/>
              </a:solidFill>
              <a:ln w="9525">
                <a:solidFill>
                  <a:schemeClr val="accent1"/>
                </a:solidFill>
              </a:ln>
              <a:effectLst/>
            </c:spPr>
          </c:marker>
          <c:cat>
            <c:strRef>
              <c:f>'13_Executive_Summary'!$B$18:$G$18</c:f>
              <c:strCache>
                <c:ptCount val="6"/>
                <c:pt idx="0">
                  <c:v>FY 2025-26 (Act)</c:v>
                </c:pt>
                <c:pt idx="1">
                  <c:v>FY 2026-27 (Proj)</c:v>
                </c:pt>
                <c:pt idx="2">
                  <c:v>FY 2027-28 (Proj)</c:v>
                </c:pt>
                <c:pt idx="3">
                  <c:v>FY 2028-29 (Proj)</c:v>
                </c:pt>
                <c:pt idx="4">
                  <c:v>FY 2029-30 (Proj)</c:v>
                </c:pt>
                <c:pt idx="5">
                  <c:v>FY 2030-31 (Proj)</c:v>
                </c:pt>
              </c:strCache>
            </c:strRef>
          </c:cat>
          <c:val>
            <c:numRef>
              <c:f>'13_Executive_Summary'!$B$21:$G$21</c:f>
              <c:numCache>
                <c:formatCode>0.00%</c:formatCode>
                <c:ptCount val="6"/>
                <c:pt idx="0">
                  <c:v>0.17680724607732334</c:v>
                </c:pt>
                <c:pt idx="1">
                  <c:v>0.18146155403689274</c:v>
                </c:pt>
                <c:pt idx="2">
                  <c:v>0.18703610999959372</c:v>
                </c:pt>
                <c:pt idx="3">
                  <c:v>0.19238968498370804</c:v>
                </c:pt>
                <c:pt idx="4">
                  <c:v>0.19749212512290645</c:v>
                </c:pt>
                <c:pt idx="5">
                  <c:v>0.20232852683550928</c:v>
                </c:pt>
              </c:numCache>
            </c:numRef>
          </c:val>
          <c:smooth val="1"/>
          <c:extLst>
            <c:ext xmlns:c16="http://schemas.microsoft.com/office/drawing/2014/chart" uri="{C3380CC4-5D6E-409C-BE32-E72D297353CC}">
              <c16:uniqueId val="{00000000-8581-5F49-876B-F0852BD4F0FF}"/>
            </c:ext>
          </c:extLst>
        </c:ser>
        <c:dLbls>
          <c:showLegendKey val="0"/>
          <c:showVal val="0"/>
          <c:showCatName val="0"/>
          <c:showSerName val="0"/>
          <c:showPercent val="0"/>
          <c:showBubbleSize val="0"/>
        </c:dLbls>
        <c:marker val="1"/>
        <c:smooth val="0"/>
        <c:axId val="560005567"/>
        <c:axId val="559563647"/>
      </c:lineChart>
      <c:catAx>
        <c:axId val="56000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9563647"/>
        <c:crosses val="autoZero"/>
        <c:auto val="1"/>
        <c:lblAlgn val="ctr"/>
        <c:lblOffset val="100"/>
        <c:noMultiLvlLbl val="0"/>
      </c:catAx>
      <c:valAx>
        <c:axId val="559563647"/>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60005567"/>
        <c:crosses val="autoZero"/>
        <c:crossBetween val="between"/>
        <c:majorUnit val="1.5000000000000003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'13_Executive_Summary'!$B$27</c:f>
              <c:strCache>
                <c:ptCount val="1"/>
                <c:pt idx="0">
                  <c:v>Enterprise Value Contribution</c:v>
                </c:pt>
              </c:strCache>
            </c:strRef>
          </c:tx>
          <c:spPr>
            <a:ln>
              <a:noFill/>
            </a:ln>
          </c:spPr>
          <c:dPt>
            <c:idx val="0"/>
            <c:bubble3D val="0"/>
            <c:spPr>
              <a:solidFill>
                <a:srgbClr val="002060"/>
              </a:solidFill>
              <a:ln w="19050">
                <a:noFill/>
              </a:ln>
              <a:effectLst/>
            </c:spPr>
            <c:extLst>
              <c:ext xmlns:c16="http://schemas.microsoft.com/office/drawing/2014/chart" uri="{C3380CC4-5D6E-409C-BE32-E72D297353CC}">
                <c16:uniqueId val="{00000001-9C35-0D43-91DE-24A3BBD04F05}"/>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2-9C35-0D43-91DE-24A3BBD04F05}"/>
              </c:ext>
            </c:extLst>
          </c:dPt>
          <c:dPt>
            <c:idx val="2"/>
            <c:bubble3D val="0"/>
            <c:spPr>
              <a:solidFill>
                <a:schemeClr val="accent2"/>
              </a:solidFill>
              <a:ln w="19050">
                <a:noFill/>
              </a:ln>
              <a:effectLst/>
            </c:spPr>
            <c:extLst>
              <c:ext xmlns:c16="http://schemas.microsoft.com/office/drawing/2014/chart" uri="{C3380CC4-5D6E-409C-BE32-E72D297353CC}">
                <c16:uniqueId val="{00000003-9C35-0D43-91DE-24A3BBD04F05}"/>
              </c:ext>
            </c:extLst>
          </c:dPt>
          <c:dPt>
            <c:idx val="3"/>
            <c:bubble3D val="0"/>
            <c:spPr>
              <a:solidFill>
                <a:schemeClr val="bg1">
                  <a:lumMod val="50000"/>
                </a:schemeClr>
              </a:solidFill>
              <a:ln w="19050">
                <a:noFill/>
              </a:ln>
              <a:effectLst/>
            </c:spPr>
            <c:extLst>
              <c:ext xmlns:c16="http://schemas.microsoft.com/office/drawing/2014/chart" uri="{C3380CC4-5D6E-409C-BE32-E72D297353CC}">
                <c16:uniqueId val="{00000004-9C35-0D43-91DE-24A3BBD04F05}"/>
              </c:ext>
            </c:extLst>
          </c:dPt>
          <c:dPt>
            <c:idx val="4"/>
            <c:bubble3D val="0"/>
            <c:spPr>
              <a:solidFill>
                <a:schemeClr val="accent5"/>
              </a:solidFill>
              <a:ln w="19050">
                <a:noFill/>
              </a:ln>
              <a:effectLst/>
            </c:spPr>
            <c:extLst>
              <c:ext xmlns:c16="http://schemas.microsoft.com/office/drawing/2014/chart" uri="{C3380CC4-5D6E-409C-BE32-E72D297353CC}">
                <c16:uniqueId val="{00000009-BC80-6F43-8A9D-6DF312A473D9}"/>
              </c:ext>
            </c:extLst>
          </c:dPt>
          <c:cat>
            <c:strRef>
              <c:f>'13_Executive_Summary'!$A$28:$A$32</c:f>
              <c:strCache>
                <c:ptCount val="5"/>
                <c:pt idx="0">
                  <c:v>Digital Services (Jio)</c:v>
                </c:pt>
                <c:pt idx="1">
                  <c:v>Reliance Retail</c:v>
                </c:pt>
                <c:pt idx="2">
                  <c:v>O2C</c:v>
                </c:pt>
                <c:pt idx="3">
                  <c:v>Other Businesses &amp; Corporate</c:v>
                </c:pt>
                <c:pt idx="4">
                  <c:v>Oil &amp; Gas (E&amp;P)</c:v>
                </c:pt>
              </c:strCache>
            </c:strRef>
          </c:cat>
          <c:val>
            <c:numRef>
              <c:f>'13_Executive_Summary'!$B$28:$B$32</c:f>
              <c:numCache>
                <c:formatCode>"₹"#,##0.00</c:formatCode>
                <c:ptCount val="5"/>
                <c:pt idx="0">
                  <c:v>1275424.6861694176</c:v>
                </c:pt>
                <c:pt idx="1">
                  <c:v>657279.80659150786</c:v>
                </c:pt>
                <c:pt idx="2">
                  <c:v>432421.42798155965</c:v>
                </c:pt>
                <c:pt idx="3">
                  <c:v>224172.36017489721</c:v>
                </c:pt>
                <c:pt idx="4">
                  <c:v>113110.36749224963</c:v>
                </c:pt>
              </c:numCache>
            </c:numRef>
          </c:val>
          <c:extLst>
            <c:ext xmlns:c16="http://schemas.microsoft.com/office/drawing/2014/chart" uri="{C3380CC4-5D6E-409C-BE32-E72D297353CC}">
              <c16:uniqueId val="{00000000-9C35-0D43-91DE-24A3BBD04F0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strRef>
              <c:f>'13_Executive_Summary'!$B$6</c:f>
              <c:strCache>
                <c:ptCount val="1"/>
                <c:pt idx="0">
                  <c:v>Output Cell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4F1-F64B-9524-A8C5F0868C4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4F1-F64B-9524-A8C5F0868C4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4F1-F64B-9524-A8C5F0868C4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4F1-F64B-9524-A8C5F0868C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'13_Executive_Summary'!$A$7:$A$10</c:f>
              <c:strCache>
                <c:ptCount val="4"/>
                <c:pt idx="0">
                  <c:v>SOTP Intrinsic Target Price</c:v>
                </c:pt>
                <c:pt idx="1">
                  <c:v>DCF Intrinsic Target Price</c:v>
                </c:pt>
                <c:pt idx="2">
                  <c:v>Current NSE Market Price (As of Aug 12, 2026)</c:v>
                </c:pt>
                <c:pt idx="3">
                  <c:v>Weighted Target Price (DCF:0.2, SOTP:0.8)</c:v>
                </c:pt>
              </c:strCache>
            </c:strRef>
          </c:cat>
          <c:val>
            <c:numRef>
              <c:f>'13_Executive_Summary'!$B$7:$B$10</c:f>
              <c:numCache>
                <c:formatCode>"₹"#,##0.00</c:formatCode>
                <c:ptCount val="4"/>
                <c:pt idx="0">
                  <c:v>1397.1490172970744</c:v>
                </c:pt>
                <c:pt idx="1">
                  <c:v>1344.9807267204728</c:v>
                </c:pt>
                <c:pt idx="2">
                  <c:v>1310</c:v>
                </c:pt>
                <c:pt idx="3">
                  <c:v>1386.7153591817541</c:v>
                </c:pt>
              </c:numCache>
            </c:numRef>
          </c:val>
          <c:extLst>
            <c:ext xmlns:c16="http://schemas.microsoft.com/office/drawing/2014/chart" uri="{C3380CC4-5D6E-409C-BE32-E72D297353CC}">
              <c16:uniqueId val="{00000000-1C53-8442-A61E-33391F84C1BC}"/>
            </c:ext>
          </c:extLst>
        </c:ser>
        <c:dLbls>
          <c:showLegendKey val="0"/>
          <c:showVal val="0"/>
          <c:showCatName val="0"/>
          <c:showSerName val="0"/>
          <c:showPercent val="0"/>
          <c:showBubbleSize val="0"/>
        </c:dLbls>
        <c:gapWidth val="70"/>
        <c:overlap val="-27"/>
        <c:axId val="596112511"/>
        <c:axId val="588290623"/>
      </c:barChart>
      <c:catAx>
        <c:axId val="59611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88290623"/>
        <c:crosses val="autoZero"/>
        <c:auto val="1"/>
        <c:lblAlgn val="ctr"/>
        <c:lblOffset val="100"/>
        <c:noMultiLvlLbl val="0"/>
      </c:catAx>
      <c:valAx>
        <c:axId val="588290623"/>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96112511"/>
        <c:crosses val="autoZero"/>
        <c:crossBetween val="between"/>
        <c:majorUnit val="4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solidFill>
                  <a:schemeClr val="tx1"/>
                </a:solidFill>
                <a:latin typeface="Arial" panose="020B0604020202020204" pitchFamily="34" charset="0"/>
                <a:cs typeface="Arial" panose="020B0604020202020204" pitchFamily="34" charset="0"/>
              </a:rPr>
              <a:t> </a:t>
            </a:r>
            <a:r>
              <a:rPr lang="en-IN" sz="1400" b="1" i="0" u="none" strike="noStrike" baseline="0">
                <a:solidFill>
                  <a:schemeClr val="tx1"/>
                </a:solidFill>
                <a:latin typeface="Arial" panose="020B0604020202020204" pitchFamily="34" charset="0"/>
                <a:cs typeface="Arial" panose="020B0604020202020204" pitchFamily="34" charset="0"/>
              </a:rPr>
              <a:t>Reliance Industries (RIL) – Valuation Triangulation Summary</a:t>
            </a:r>
            <a:endParaRPr lang="en-GB"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GB"/>
        </a:p>
      </c:txPr>
    </c:title>
    <c:autoTitleDeleted val="0"/>
    <c:plotArea>
      <c:layout/>
      <c:barChart>
        <c:barDir val="bar"/>
        <c:grouping val="clustered"/>
        <c:varyColors val="1"/>
        <c:ser>
          <c:idx val="0"/>
          <c:order val="0"/>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CC8A-BA4E-8C27-90C5F7C6630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859-0343-A537-B54E3364B725}"/>
              </c:ext>
            </c:extLst>
          </c:dPt>
          <c:dPt>
            <c:idx val="2"/>
            <c:invertIfNegative val="0"/>
            <c:bubble3D val="0"/>
            <c:spPr>
              <a:solidFill>
                <a:srgbClr val="FFC000"/>
              </a:solidFill>
              <a:ln>
                <a:noFill/>
              </a:ln>
              <a:effectLst/>
            </c:spPr>
            <c:extLst>
              <c:ext xmlns:c16="http://schemas.microsoft.com/office/drawing/2014/chart" uri="{C3380CC4-5D6E-409C-BE32-E72D297353CC}">
                <c16:uniqueId val="{00000004-CC8A-BA4E-8C27-90C5F7C66300}"/>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2-CC8A-BA4E-8C27-90C5F7C663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'16_Relative_Valuation'!$A$206:$A$209</c:f>
              <c:strCache>
                <c:ptCount val="4"/>
                <c:pt idx="0">
                  <c:v>Consolidated CCA</c:v>
                </c:pt>
                <c:pt idx="1">
                  <c:v>Segment SOTP</c:v>
                </c:pt>
                <c:pt idx="2">
                  <c:v>DCF – Perpetuity Growth</c:v>
                </c:pt>
                <c:pt idx="3">
                  <c:v>DCF – Segment Exit Multiple</c:v>
                </c:pt>
              </c:strCache>
            </c:strRef>
          </c:cat>
          <c:val>
            <c:numRef>
              <c:f>'16_Relative_Valuation'!$B$206:$B$209</c:f>
              <c:numCache>
                <c:formatCode>"₹"#,##0.00_);[Red]\("₹"#,##0.00\)</c:formatCode>
                <c:ptCount val="4"/>
                <c:pt idx="0">
                  <c:v>1740.65</c:v>
                </c:pt>
                <c:pt idx="1">
                  <c:v>1222.55</c:v>
                </c:pt>
                <c:pt idx="2">
                  <c:v>1218.1600000000001</c:v>
                </c:pt>
                <c:pt idx="3">
                  <c:v>1457.65</c:v>
                </c:pt>
              </c:numCache>
            </c:numRef>
          </c:val>
          <c:extLst>
            <c:ext xmlns:c16="http://schemas.microsoft.com/office/drawing/2014/chart" uri="{C3380CC4-5D6E-409C-BE32-E72D297353CC}">
              <c16:uniqueId val="{00000000-CC8A-BA4E-8C27-90C5F7C66300}"/>
            </c:ext>
          </c:extLst>
        </c:ser>
        <c:dLbls>
          <c:showLegendKey val="0"/>
          <c:showVal val="0"/>
          <c:showCatName val="0"/>
          <c:showSerName val="0"/>
          <c:showPercent val="0"/>
          <c:showBubbleSize val="0"/>
        </c:dLbls>
        <c:gapWidth val="182"/>
        <c:axId val="798490623"/>
        <c:axId val="798499135"/>
      </c:barChart>
      <c:catAx>
        <c:axId val="79849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98499135"/>
        <c:crosses val="autoZero"/>
        <c:auto val="1"/>
        <c:lblAlgn val="ctr"/>
        <c:lblOffset val="100"/>
        <c:noMultiLvlLbl val="0"/>
      </c:catAx>
      <c:valAx>
        <c:axId val="798499135"/>
        <c:scaling>
          <c:orientation val="minMax"/>
          <c:min val="1000"/>
        </c:scaling>
        <c:delete val="0"/>
        <c:axPos val="b"/>
        <c:majorGridlines>
          <c:spPr>
            <a:ln w="9525" cap="flat" cmpd="sng" algn="ctr">
              <a:no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98490623"/>
        <c:crosses val="autoZero"/>
        <c:crossBetween val="between"/>
        <c:majorUnit val="3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00000000-B1CD-B042-8312-95F0E90F0BEB}">
          <cx:dataPt idx="0">
            <cx:spPr>
              <a:solidFill>
                <a:srgbClr val="002060"/>
              </a:solidFill>
            </cx:spPr>
          </cx:dataPt>
          <cx:dataPt idx="1">
            <cx:spPr>
              <a:solidFill>
                <a:srgbClr val="00B050"/>
              </a:solidFill>
            </cx:spPr>
          </cx:dataPt>
          <cx:dataPt idx="2">
            <cx:spPr>
              <a:solidFill>
                <a:srgbClr val="FF0000"/>
              </a:solidFill>
            </cx:spPr>
          </cx:dataPt>
          <cx:dataPt idx="3">
            <cx:spPr>
              <a:solidFill>
                <a:srgbClr val="FF0000"/>
              </a:solidFill>
            </cx:spPr>
          </cx:dataPt>
          <cx:dataPt idx="4">
            <cx:spPr>
              <a:solidFill>
                <a:srgbClr val="002060"/>
              </a:solidFill>
            </cx:spPr>
          </cx:dataPt>
          <cx:dataId val="0"/>
          <cx:layoutPr>
            <cx:subtotals>
              <cx:idx val="0"/>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400" b="1">
                <a:solidFill>
                  <a:schemeClr val="tx1"/>
                </a:solidFill>
                <a:latin typeface="Arial" panose="020B0604020202020204" pitchFamily="34" charset="0"/>
                <a:ea typeface="Arial" panose="020B0604020202020204" pitchFamily="34" charset="0"/>
                <a:cs typeface="Arial" panose="020B0604020202020204" pitchFamily="34" charset="0"/>
              </a:defRPr>
            </a:pPr>
            <a:endParaRPr lang="en-GB" sz="400" b="1" i="0" u="none" strike="noStrike" baseline="0">
              <a:solidFill>
                <a:schemeClr val="tx1"/>
              </a:solidFill>
              <a:latin typeface="Arial" panose="020B0604020202020204" pitchFamily="34" charset="0"/>
              <a:cs typeface="Arial" panose="020B0604020202020204" pitchFamily="34" charset="0"/>
            </a:endParaRPr>
          </a:p>
        </cx:txPr>
      </cx:axis>
      <cx:axis id="1">
        <cx:valScaling/>
        <cx:majorGridlines/>
        <cx:tickLabels/>
        <cx:numFmt formatCode="₹#,##0" sourceLinked="0"/>
        <cx:spPr>
          <a:ln>
            <a:noFill/>
          </a:ln>
        </cx:spPr>
        <cx:txPr>
          <a:bodyPr spcFirstLastPara="1" vertOverflow="ellipsis" horzOverflow="overflow" wrap="square" lIns="0" tIns="0" rIns="0" bIns="0" anchor="ctr" anchorCtr="1"/>
          <a:lstStyle/>
          <a:p>
            <a:pPr algn="ctr" rtl="0">
              <a:defRPr b="1">
                <a:solidFill>
                  <a:schemeClr val="tx1"/>
                </a:solidFill>
                <a:latin typeface="Arial" panose="020B0604020202020204" pitchFamily="34" charset="0"/>
                <a:ea typeface="Arial" panose="020B0604020202020204" pitchFamily="34" charset="0"/>
                <a:cs typeface="Arial" panose="020B0604020202020204" pitchFamily="34" charset="0"/>
              </a:defRPr>
            </a:pPr>
            <a:endParaRPr lang="en-GB" sz="900" b="1" i="0" u="none" strike="noStrike" baseline="0">
              <a:solidFill>
                <a:schemeClr val="tx1"/>
              </a:solidFill>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2775955</xdr:colOff>
      <xdr:row>1</xdr:row>
      <xdr:rowOff>96728</xdr:rowOff>
    </xdr:from>
    <xdr:to>
      <xdr:col>9</xdr:col>
      <xdr:colOff>532288</xdr:colOff>
      <xdr:row>8</xdr:row>
      <xdr:rowOff>331630</xdr:rowOff>
    </xdr:to>
    <xdr:sp macro="" textlink="">
      <xdr:nvSpPr>
        <xdr:cNvPr id="2" name="Rounded Rectangle 1">
          <a:extLst>
            <a:ext uri="{FF2B5EF4-FFF2-40B4-BE49-F238E27FC236}">
              <a16:creationId xmlns:a16="http://schemas.microsoft.com/office/drawing/2014/main" id="{D3BF8B64-13A0-FAD0-1189-55D41C0FC806}"/>
            </a:ext>
          </a:extLst>
        </xdr:cNvPr>
        <xdr:cNvSpPr/>
      </xdr:nvSpPr>
      <xdr:spPr>
        <a:xfrm>
          <a:off x="2928355" y="266061"/>
          <a:ext cx="7560733" cy="142023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latin typeface="Arial" panose="020B0604020202020204" pitchFamily="34" charset="0"/>
              <a:cs typeface="Arial" panose="020B0604020202020204" pitchFamily="34" charset="0"/>
            </a:rPr>
            <a:t>RELIANCE INDUSTRIES LIMITED</a:t>
          </a:r>
        </a:p>
        <a:p>
          <a:pPr algn="ctr"/>
          <a:endParaRPr lang="en-GB" sz="1800">
            <a:latin typeface="Arial" panose="020B0604020202020204" pitchFamily="34" charset="0"/>
            <a:cs typeface="Arial" panose="020B0604020202020204" pitchFamily="34" charset="0"/>
          </a:endParaRPr>
        </a:p>
        <a:p>
          <a:pPr algn="ctr"/>
          <a:r>
            <a:rPr lang="en-IN" sz="1800" b="0">
              <a:latin typeface="Arial" panose="020B0604020202020204" pitchFamily="34" charset="0"/>
              <a:cs typeface="Arial" panose="020B0604020202020204" pitchFamily="34" charset="0"/>
            </a:rPr>
            <a:t>Equity Research Valuation Report</a:t>
          </a:r>
        </a:p>
        <a:p>
          <a:pPr algn="ctr"/>
          <a:r>
            <a:rPr lang="en-IN" sz="1800" b="0">
              <a:latin typeface="Arial" panose="020B0604020202020204" pitchFamily="34" charset="0"/>
              <a:cs typeface="Arial" panose="020B0604020202020204" pitchFamily="34" charset="0"/>
            </a:rPr>
            <a:t>NSE: RELIANCE | BSE: 500325</a:t>
          </a:r>
        </a:p>
        <a:p>
          <a:pPr algn="ctr"/>
          <a:endParaRPr lang="en-GB" sz="1800">
            <a:latin typeface="Arial" panose="020B0604020202020204" pitchFamily="34" charset="0"/>
            <a:cs typeface="Arial" panose="020B0604020202020204" pitchFamily="34" charset="0"/>
          </a:endParaRPr>
        </a:p>
      </xdr:txBody>
    </xdr:sp>
    <xdr:clientData/>
  </xdr:twoCellAnchor>
  <xdr:twoCellAnchor>
    <xdr:from>
      <xdr:col>1</xdr:col>
      <xdr:colOff>2734335</xdr:colOff>
      <xdr:row>8</xdr:row>
      <xdr:rowOff>554283</xdr:rowOff>
    </xdr:from>
    <xdr:to>
      <xdr:col>9</xdr:col>
      <xdr:colOff>465268</xdr:colOff>
      <xdr:row>12</xdr:row>
      <xdr:rowOff>94921</xdr:rowOff>
    </xdr:to>
    <xdr:sp macro="" textlink="">
      <xdr:nvSpPr>
        <xdr:cNvPr id="3" name="Rounded Rectangle 2">
          <a:extLst>
            <a:ext uri="{FF2B5EF4-FFF2-40B4-BE49-F238E27FC236}">
              <a16:creationId xmlns:a16="http://schemas.microsoft.com/office/drawing/2014/main" id="{F69E80FB-ABE1-CA40-9831-62F622309A24}"/>
            </a:ext>
          </a:extLst>
        </xdr:cNvPr>
        <xdr:cNvSpPr/>
      </xdr:nvSpPr>
      <xdr:spPr>
        <a:xfrm>
          <a:off x="2886735" y="1908950"/>
          <a:ext cx="7535333" cy="1149304"/>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latin typeface="Arial" panose="020B0604020202020204" pitchFamily="34" charset="0"/>
              <a:cs typeface="Arial" panose="020B0604020202020204" pitchFamily="34" charset="0"/>
            </a:rPr>
            <a:t> SUM OF THE PARTS </a:t>
          </a:r>
          <a:r>
            <a:rPr lang="en-GB" sz="1800" baseline="0">
              <a:latin typeface="Arial" panose="020B0604020202020204" pitchFamily="34" charset="0"/>
              <a:cs typeface="Arial" panose="020B0604020202020204" pitchFamily="34" charset="0"/>
            </a:rPr>
            <a:t>(SOTP) VALUATION MODEL &amp; EQUITY RESEARCH REPORT</a:t>
          </a:r>
          <a:endParaRPr lang="en-GB" sz="1800">
            <a:latin typeface="Arial" panose="020B0604020202020204" pitchFamily="34" charset="0"/>
            <a:cs typeface="Arial" panose="020B0604020202020204" pitchFamily="34" charset="0"/>
          </a:endParaRPr>
        </a:p>
      </xdr:txBody>
    </xdr:sp>
    <xdr:clientData/>
  </xdr:twoCellAnchor>
  <xdr:twoCellAnchor>
    <xdr:from>
      <xdr:col>3</xdr:col>
      <xdr:colOff>286279</xdr:colOff>
      <xdr:row>22</xdr:row>
      <xdr:rowOff>91635</xdr:rowOff>
    </xdr:from>
    <xdr:to>
      <xdr:col>11</xdr:col>
      <xdr:colOff>280888</xdr:colOff>
      <xdr:row>40</xdr:row>
      <xdr:rowOff>0</xdr:rowOff>
    </xdr:to>
    <xdr:sp macro="" textlink="">
      <xdr:nvSpPr>
        <xdr:cNvPr id="4" name="Rectangle 3">
          <a:extLst>
            <a:ext uri="{FF2B5EF4-FFF2-40B4-BE49-F238E27FC236}">
              <a16:creationId xmlns:a16="http://schemas.microsoft.com/office/drawing/2014/main" id="{8EEE7913-E615-416F-A672-FFC70CA88B65}"/>
            </a:ext>
          </a:extLst>
        </xdr:cNvPr>
        <xdr:cNvSpPr/>
      </xdr:nvSpPr>
      <xdr:spPr>
        <a:xfrm>
          <a:off x="6077479" y="5002302"/>
          <a:ext cx="5548742" cy="3379698"/>
        </a:xfrm>
        <a:prstGeom prst="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800" b="1">
              <a:solidFill>
                <a:schemeClr val="tx1"/>
              </a:solidFill>
              <a:latin typeface="Arial" panose="020B0604020202020204" pitchFamily="34" charset="0"/>
              <a:cs typeface="Arial" panose="020B0604020202020204" pitchFamily="34" charset="0"/>
            </a:rPr>
            <a:t>Investment Highlights</a:t>
          </a:r>
        </a:p>
        <a:p>
          <a:pPr lvl="0" algn="ctr"/>
          <a:endParaRPr lang="en-IN" sz="1800" b="1">
            <a:solidFill>
              <a:schemeClr val="tx1"/>
            </a:solidFill>
            <a:latin typeface="Arial" panose="020B0604020202020204" pitchFamily="34" charset="0"/>
            <a:cs typeface="Arial" panose="020B0604020202020204" pitchFamily="34" charset="0"/>
          </a:endParaRPr>
        </a:p>
        <a:p>
          <a:pPr lvl="0"/>
          <a:r>
            <a:rPr lang="en-IN" sz="1300">
              <a:solidFill>
                <a:schemeClr val="tx1"/>
              </a:solidFill>
              <a:latin typeface="Arial" panose="020B0604020202020204" pitchFamily="34" charset="0"/>
              <a:cs typeface="Arial" panose="020B0604020202020204" pitchFamily="34" charset="0"/>
            </a:rPr>
            <a:t>1)</a:t>
          </a:r>
          <a:r>
            <a:rPr lang="en-IN" sz="1300" baseline="0">
              <a:solidFill>
                <a:schemeClr val="tx1"/>
              </a:solidFill>
              <a:latin typeface="Arial" panose="020B0604020202020204" pitchFamily="34" charset="0"/>
              <a:cs typeface="Arial" panose="020B0604020202020204" pitchFamily="34" charset="0"/>
            </a:rPr>
            <a:t> </a:t>
          </a:r>
          <a:r>
            <a:rPr lang="en-IN" sz="1300" b="1" u="none" strike="noStrike">
              <a:solidFill>
                <a:schemeClr val="tx1"/>
              </a:solidFill>
              <a:effectLst/>
              <a:latin typeface="Arial" panose="020B0604020202020204" pitchFamily="34" charset="0"/>
              <a:ea typeface="+mn-ea"/>
              <a:cs typeface="Arial" panose="020B0604020202020204" pitchFamily="34" charset="0"/>
            </a:rPr>
            <a:t>Digital Services (Jio):</a:t>
          </a:r>
          <a:r>
            <a:rPr lang="en-IN" sz="1300">
              <a:solidFill>
                <a:schemeClr val="tx1"/>
              </a:solidFill>
              <a:latin typeface="Arial" panose="020B0604020202020204" pitchFamily="34" charset="0"/>
              <a:cs typeface="Arial" panose="020B0604020202020204" pitchFamily="34" charset="0"/>
            </a:rPr>
            <a:t> Emerges as the primary valuation anchor, driven by accelerated 5G enterprise monetization and sustainable ARPU expansion</a:t>
          </a:r>
          <a:r>
            <a:rPr lang="en-IN" sz="1400">
              <a:solidFill>
                <a:schemeClr val="tx1"/>
              </a:solidFill>
            </a:rPr>
            <a:t>.</a:t>
          </a:r>
        </a:p>
        <a:p>
          <a:pPr marL="0" lvl="0" indent="0"/>
          <a:endParaRPr lang="en-IN" sz="1300">
            <a:solidFill>
              <a:schemeClr val="tx1"/>
            </a:solidFill>
            <a:latin typeface="Arial" panose="020B0604020202020204" pitchFamily="34" charset="0"/>
            <a:ea typeface="+mn-ea"/>
            <a:cs typeface="Arial" panose="020B0604020202020204" pitchFamily="34" charset="0"/>
          </a:endParaRPr>
        </a:p>
        <a:p>
          <a:pPr marL="0" lvl="0" indent="0"/>
          <a:r>
            <a:rPr lang="en-IN" sz="1300">
              <a:solidFill>
                <a:schemeClr val="tx1"/>
              </a:solidFill>
              <a:latin typeface="Arial" panose="020B0604020202020204" pitchFamily="34" charset="0"/>
              <a:ea typeface="+mn-ea"/>
              <a:cs typeface="Arial" panose="020B0604020202020204" pitchFamily="34" charset="0"/>
            </a:rPr>
            <a:t>2) </a:t>
          </a:r>
          <a:r>
            <a:rPr lang="en-IN" sz="1300" b="1">
              <a:solidFill>
                <a:schemeClr val="tx1"/>
              </a:solidFill>
              <a:latin typeface="Arial" panose="020B0604020202020204" pitchFamily="34" charset="0"/>
              <a:ea typeface="+mn-ea"/>
              <a:cs typeface="Arial" panose="020B0604020202020204" pitchFamily="34" charset="0"/>
            </a:rPr>
            <a:t>Reliance Retail: </a:t>
          </a:r>
          <a:r>
            <a:rPr lang="en-IN" sz="1300">
              <a:solidFill>
                <a:schemeClr val="tx1"/>
              </a:solidFill>
              <a:latin typeface="Arial" panose="020B0604020202020204" pitchFamily="34" charset="0"/>
              <a:ea typeface="+mn-ea"/>
              <a:cs typeface="Arial" panose="020B0604020202020204" pitchFamily="34" charset="0"/>
            </a:rPr>
            <a:t>Positioned as a core growth engine, leveraging aggressive footprint expansion and structural operating leverage.</a:t>
          </a:r>
        </a:p>
        <a:p>
          <a:pPr marL="0" lvl="0" indent="0"/>
          <a:endParaRPr lang="en-IN" sz="1300">
            <a:solidFill>
              <a:schemeClr val="tx1"/>
            </a:solidFill>
            <a:latin typeface="Arial" panose="020B0604020202020204" pitchFamily="34" charset="0"/>
            <a:ea typeface="+mn-ea"/>
            <a:cs typeface="Arial" panose="020B0604020202020204" pitchFamily="34" charset="0"/>
          </a:endParaRPr>
        </a:p>
        <a:p>
          <a:pPr marL="0" lvl="0" indent="0"/>
          <a:r>
            <a:rPr lang="en-IN" sz="1300">
              <a:solidFill>
                <a:schemeClr val="tx1"/>
              </a:solidFill>
              <a:latin typeface="Arial" panose="020B0604020202020204" pitchFamily="34" charset="0"/>
              <a:ea typeface="+mn-ea"/>
              <a:cs typeface="Arial" panose="020B0604020202020204" pitchFamily="34" charset="0"/>
            </a:rPr>
            <a:t>3) </a:t>
          </a:r>
          <a:r>
            <a:rPr lang="en-IN" sz="1300" b="1">
              <a:solidFill>
                <a:schemeClr val="tx1"/>
              </a:solidFill>
              <a:latin typeface="Arial" panose="020B0604020202020204" pitchFamily="34" charset="0"/>
              <a:ea typeface="+mn-ea"/>
              <a:cs typeface="Arial" panose="020B0604020202020204" pitchFamily="34" charset="0"/>
            </a:rPr>
            <a:t>Oil-to-Chemicals (O2C): </a:t>
          </a:r>
          <a:r>
            <a:rPr lang="en-IN" sz="1300">
              <a:solidFill>
                <a:schemeClr val="tx1"/>
              </a:solidFill>
              <a:latin typeface="Arial" panose="020B0604020202020204" pitchFamily="34" charset="0"/>
              <a:ea typeface="+mn-ea"/>
              <a:cs typeface="Arial" panose="020B0604020202020204" pitchFamily="34" charset="0"/>
            </a:rPr>
            <a:t>Functions as a mature cash generator, providing resilient baseline funding despite cyclical margin volatility</a:t>
          </a:r>
          <a:r>
            <a:rPr lang="en-IN" sz="1400"/>
            <a:t>.</a:t>
          </a:r>
        </a:p>
        <a:p>
          <a:pPr marL="0" lvl="0" indent="0"/>
          <a:endParaRPr lang="en-IN" sz="1300">
            <a:solidFill>
              <a:schemeClr val="tx1"/>
            </a:solidFill>
            <a:latin typeface="Arial" panose="020B0604020202020204" pitchFamily="34" charset="0"/>
            <a:cs typeface="Arial" panose="020B0604020202020204" pitchFamily="34" charset="0"/>
          </a:endParaRPr>
        </a:p>
        <a:p>
          <a:pPr marL="0" lvl="0" indent="0"/>
          <a:r>
            <a:rPr lang="en-IN" sz="1300">
              <a:solidFill>
                <a:schemeClr val="tx1"/>
              </a:solidFill>
              <a:latin typeface="Arial" panose="020B0604020202020204" pitchFamily="34" charset="0"/>
              <a:ea typeface="+mn-ea"/>
              <a:cs typeface="Arial" panose="020B0604020202020204" pitchFamily="34" charset="0"/>
            </a:rPr>
            <a:t>4) </a:t>
          </a:r>
          <a:r>
            <a:rPr lang="en-IN" sz="1300" b="1">
              <a:solidFill>
                <a:schemeClr val="tx1"/>
              </a:solidFill>
              <a:latin typeface="Arial" panose="020B0604020202020204" pitchFamily="34" charset="0"/>
              <a:ea typeface="+mn-ea"/>
              <a:cs typeface="Arial" panose="020B0604020202020204" pitchFamily="34" charset="0"/>
            </a:rPr>
            <a:t>Balance Sheet Quality: </a:t>
          </a:r>
          <a:r>
            <a:rPr lang="en-IN" sz="1300">
              <a:solidFill>
                <a:schemeClr val="tx1"/>
              </a:solidFill>
              <a:latin typeface="Arial" panose="020B0604020202020204" pitchFamily="34" charset="0"/>
              <a:ea typeface="+mn-ea"/>
              <a:cs typeface="Arial" panose="020B0604020202020204" pitchFamily="34" charset="0"/>
            </a:rPr>
            <a:t>Demonstrates structural improvement underpinned by accelerating free cash flow (FCFF) conversion and a contracting leverage profile.</a:t>
          </a:r>
        </a:p>
      </xdr:txBody>
    </xdr:sp>
    <xdr:clientData/>
  </xdr:twoCellAnchor>
  <xdr:twoCellAnchor>
    <xdr:from>
      <xdr:col>0</xdr:col>
      <xdr:colOff>135467</xdr:colOff>
      <xdr:row>40</xdr:row>
      <xdr:rowOff>152400</xdr:rowOff>
    </xdr:from>
    <xdr:to>
      <xdr:col>11</xdr:col>
      <xdr:colOff>287867</xdr:colOff>
      <xdr:row>42</xdr:row>
      <xdr:rowOff>56195</xdr:rowOff>
    </xdr:to>
    <xdr:sp macro="" textlink="">
      <xdr:nvSpPr>
        <xdr:cNvPr id="5" name="Rectangle 4">
          <a:extLst>
            <a:ext uri="{FF2B5EF4-FFF2-40B4-BE49-F238E27FC236}">
              <a16:creationId xmlns:a16="http://schemas.microsoft.com/office/drawing/2014/main" id="{31ACCB7E-61B5-2E8E-4C7B-58241023B927}"/>
            </a:ext>
          </a:extLst>
        </xdr:cNvPr>
        <xdr:cNvSpPr/>
      </xdr:nvSpPr>
      <xdr:spPr>
        <a:xfrm>
          <a:off x="135467" y="8356825"/>
          <a:ext cx="11514966" cy="330874"/>
        </a:xfrm>
        <a:prstGeom prst="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solidFill>
                <a:schemeClr val="tx1"/>
              </a:solidFill>
              <a:latin typeface="Arial" panose="020B0604020202020204" pitchFamily="34" charset="0"/>
              <a:cs typeface="Arial" panose="020B0604020202020204" pitchFamily="34" charset="0"/>
            </a:rPr>
            <a:t> </a:t>
          </a:r>
          <a:r>
            <a:rPr lang="en-GB" sz="1200" b="1">
              <a:solidFill>
                <a:schemeClr val="tx1"/>
              </a:solidFill>
              <a:latin typeface="Arial" panose="020B0604020202020204" pitchFamily="34" charset="0"/>
              <a:cs typeface="Arial" panose="020B0604020202020204" pitchFamily="34" charset="0"/>
            </a:rPr>
            <a:t>Disclaimer: </a:t>
          </a:r>
          <a:r>
            <a:rPr lang="en-GB" sz="1200">
              <a:solidFill>
                <a:schemeClr val="tx1"/>
              </a:solidFill>
              <a:latin typeface="Arial" panose="020B0604020202020204" pitchFamily="34" charset="0"/>
              <a:cs typeface="Arial" panose="020B0604020202020204" pitchFamily="34" charset="0"/>
            </a:rPr>
            <a:t>This report is for educational and analytical purposes only and does not constitute formal investment advice or a solicitation to buy or sell securities.</a:t>
          </a:r>
        </a:p>
      </xdr:txBody>
    </xdr:sp>
    <xdr:clientData/>
  </xdr:twoCellAnchor>
  <xdr:twoCellAnchor editAs="oneCell">
    <xdr:from>
      <xdr:col>4</xdr:col>
      <xdr:colOff>151642</xdr:colOff>
      <xdr:row>13</xdr:row>
      <xdr:rowOff>113731</xdr:rowOff>
    </xdr:from>
    <xdr:to>
      <xdr:col>10</xdr:col>
      <xdr:colOff>18955</xdr:colOff>
      <xdr:row>21</xdr:row>
      <xdr:rowOff>148523</xdr:rowOff>
    </xdr:to>
    <xdr:pic>
      <xdr:nvPicPr>
        <xdr:cNvPr id="7" name="Picture 6">
          <a:extLst>
            <a:ext uri="{FF2B5EF4-FFF2-40B4-BE49-F238E27FC236}">
              <a16:creationId xmlns:a16="http://schemas.microsoft.com/office/drawing/2014/main" id="{6ED646D8-4A48-CF47-2159-88BE6E169793}"/>
            </a:ext>
          </a:extLst>
        </xdr:cNvPr>
        <xdr:cNvPicPr>
          <a:picLocks noChangeAspect="1"/>
        </xdr:cNvPicPr>
      </xdr:nvPicPr>
      <xdr:blipFill>
        <a:blip xmlns:r="http://schemas.openxmlformats.org/officeDocument/2006/relationships" r:embed="rId1"/>
        <a:stretch>
          <a:fillRect/>
        </a:stretch>
      </xdr:blipFill>
      <xdr:spPr>
        <a:xfrm>
          <a:off x="6653284" y="3241343"/>
          <a:ext cx="4075372" cy="15322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931116</xdr:colOff>
      <xdr:row>27</xdr:row>
      <xdr:rowOff>61655</xdr:rowOff>
    </xdr:from>
    <xdr:to>
      <xdr:col>6</xdr:col>
      <xdr:colOff>817794</xdr:colOff>
      <xdr:row>28</xdr:row>
      <xdr:rowOff>99599</xdr:rowOff>
    </xdr:to>
    <xdr:sp macro="" textlink="">
      <xdr:nvSpPr>
        <xdr:cNvPr id="2" name="Rectangle 1">
          <a:extLst>
            <a:ext uri="{FF2B5EF4-FFF2-40B4-BE49-F238E27FC236}">
              <a16:creationId xmlns:a16="http://schemas.microsoft.com/office/drawing/2014/main" id="{EB060319-2A66-564E-80A8-270FEE6113D8}"/>
            </a:ext>
          </a:extLst>
        </xdr:cNvPr>
        <xdr:cNvSpPr/>
      </xdr:nvSpPr>
      <xdr:spPr>
        <a:xfrm>
          <a:off x="3416842" y="4674903"/>
          <a:ext cx="4358815" cy="200764"/>
        </a:xfrm>
        <a:prstGeom prst="rect">
          <a:avLst/>
        </a:prstGeom>
        <a:solidFill>
          <a:srgbClr val="00206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latin typeface="Arial" panose="020B0604020202020204" pitchFamily="34" charset="0"/>
              <a:cs typeface="Arial" panose="020B0604020202020204" pitchFamily="34" charset="0"/>
            </a:rPr>
            <a:t>Reliance Retail</a:t>
          </a:r>
          <a:r>
            <a:rPr lang="en-GB" sz="1100" b="1" baseline="0">
              <a:latin typeface="Arial" panose="020B0604020202020204" pitchFamily="34" charset="0"/>
              <a:cs typeface="Arial" panose="020B0604020202020204" pitchFamily="34" charset="0"/>
            </a:rPr>
            <a:t> EV/EBITDA Multiple</a:t>
          </a:r>
          <a:endParaRPr lang="en-GB" sz="1100" b="1">
            <a:latin typeface="Arial" panose="020B0604020202020204" pitchFamily="34" charset="0"/>
            <a:cs typeface="Arial" panose="020B0604020202020204" pitchFamily="34" charset="0"/>
          </a:endParaRPr>
        </a:p>
      </xdr:txBody>
    </xdr:sp>
    <xdr:clientData/>
  </xdr:twoCellAnchor>
  <xdr:twoCellAnchor>
    <xdr:from>
      <xdr:col>0</xdr:col>
      <xdr:colOff>2173327</xdr:colOff>
      <xdr:row>29</xdr:row>
      <xdr:rowOff>8900</xdr:rowOff>
    </xdr:from>
    <xdr:to>
      <xdr:col>0</xdr:col>
      <xdr:colOff>2410393</xdr:colOff>
      <xdr:row>35</xdr:row>
      <xdr:rowOff>17848</xdr:rowOff>
    </xdr:to>
    <xdr:sp macro="" textlink="">
      <xdr:nvSpPr>
        <xdr:cNvPr id="4" name="Rectangle 3">
          <a:extLst>
            <a:ext uri="{FF2B5EF4-FFF2-40B4-BE49-F238E27FC236}">
              <a16:creationId xmlns:a16="http://schemas.microsoft.com/office/drawing/2014/main" id="{996A55AD-A946-0F49-A003-E5770A2CF7E1}"/>
            </a:ext>
          </a:extLst>
        </xdr:cNvPr>
        <xdr:cNvSpPr/>
      </xdr:nvSpPr>
      <xdr:spPr>
        <a:xfrm>
          <a:off x="2173327" y="4958644"/>
          <a:ext cx="237066" cy="105099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GB" sz="1100" b="1">
              <a:latin typeface="Arial" panose="020B0604020202020204" pitchFamily="34" charset="0"/>
              <a:cs typeface="Arial" panose="020B0604020202020204" pitchFamily="34" charset="0"/>
            </a:rPr>
            <a:t>Jio EV/EBITDA</a:t>
          </a:r>
        </a:p>
      </xdr:txBody>
    </xdr:sp>
    <xdr:clientData/>
  </xdr:twoCellAnchor>
  <xdr:twoCellAnchor>
    <xdr:from>
      <xdr:col>7</xdr:col>
      <xdr:colOff>206368</xdr:colOff>
      <xdr:row>14</xdr:row>
      <xdr:rowOff>13901</xdr:rowOff>
    </xdr:from>
    <xdr:to>
      <xdr:col>12</xdr:col>
      <xdr:colOff>306477</xdr:colOff>
      <xdr:row>25</xdr:row>
      <xdr:rowOff>144493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26F4AE1-13D7-35BA-3EA0-E2A5332F0D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45468" y="2566601"/>
              <a:ext cx="4227609" cy="194669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190499</xdr:colOff>
      <xdr:row>11</xdr:row>
      <xdr:rowOff>139700</xdr:rowOff>
    </xdr:from>
    <xdr:to>
      <xdr:col>12</xdr:col>
      <xdr:colOff>313266</xdr:colOff>
      <xdr:row>13</xdr:row>
      <xdr:rowOff>103954</xdr:rowOff>
    </xdr:to>
    <xdr:sp macro="" textlink="">
      <xdr:nvSpPr>
        <xdr:cNvPr id="6" name="Rectangle 5">
          <a:extLst>
            <a:ext uri="{FF2B5EF4-FFF2-40B4-BE49-F238E27FC236}">
              <a16:creationId xmlns:a16="http://schemas.microsoft.com/office/drawing/2014/main" id="{F16F6864-C3E5-344D-9B46-E31B05C2E157}"/>
            </a:ext>
          </a:extLst>
        </xdr:cNvPr>
        <xdr:cNvSpPr/>
      </xdr:nvSpPr>
      <xdr:spPr>
        <a:xfrm>
          <a:off x="7996766" y="2197100"/>
          <a:ext cx="4271433" cy="302921"/>
        </a:xfrm>
        <a:prstGeom prst="rect">
          <a:avLst/>
        </a:prstGeom>
        <a:solidFill>
          <a:srgbClr val="00206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latin typeface="Arial" panose="020B0604020202020204" pitchFamily="34" charset="0"/>
              <a:cs typeface="Arial" panose="020B0604020202020204" pitchFamily="34" charset="0"/>
            </a:rPr>
            <a:t>Chart 1:</a:t>
          </a:r>
          <a:r>
            <a:rPr lang="en-GB" sz="1100" b="1" baseline="0">
              <a:latin typeface="Arial" panose="020B0604020202020204" pitchFamily="34" charset="0"/>
              <a:cs typeface="Arial" panose="020B0604020202020204" pitchFamily="34" charset="0"/>
            </a:rPr>
            <a:t> Enterprise Value  to Equity Value Bridge</a:t>
          </a:r>
          <a:endParaRPr lang="en-GB" sz="11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214046</xdr:colOff>
      <xdr:row>33</xdr:row>
      <xdr:rowOff>142695</xdr:rowOff>
    </xdr:from>
    <xdr:to>
      <xdr:col>5</xdr:col>
      <xdr:colOff>832070</xdr:colOff>
      <xdr:row>65</xdr:row>
      <xdr:rowOff>23091</xdr:rowOff>
    </xdr:to>
    <xdr:sp macro="" textlink="">
      <xdr:nvSpPr>
        <xdr:cNvPr id="2" name="Rectangle 1">
          <a:extLst>
            <a:ext uri="{FF2B5EF4-FFF2-40B4-BE49-F238E27FC236}">
              <a16:creationId xmlns:a16="http://schemas.microsoft.com/office/drawing/2014/main" id="{D6FA6937-22C5-9F0F-6821-67AC16659D7C}"/>
            </a:ext>
          </a:extLst>
        </xdr:cNvPr>
        <xdr:cNvSpPr/>
      </xdr:nvSpPr>
      <xdr:spPr>
        <a:xfrm>
          <a:off x="214046" y="6331059"/>
          <a:ext cx="8434297" cy="509894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u="sng">
              <a:solidFill>
                <a:schemeClr val="tx1"/>
              </a:solidFill>
              <a:latin typeface="Arial" panose="020B0604020202020204" pitchFamily="34" charset="0"/>
              <a:cs typeface="Arial" panose="020B0604020202020204" pitchFamily="34" charset="0"/>
            </a:rPr>
            <a:t>Strategic Investment Thesis</a:t>
          </a:r>
        </a:p>
        <a:p>
          <a:endParaRPr lang="en-IN" sz="1400" b="1" u="none">
            <a:solidFill>
              <a:schemeClr val="tx1"/>
            </a:solidFill>
            <a:latin typeface="Arial" panose="020B0604020202020204" pitchFamily="34" charset="0"/>
            <a:cs typeface="Arial" panose="020B0604020202020204" pitchFamily="34" charset="0"/>
          </a:endParaRPr>
        </a:p>
        <a:p>
          <a:r>
            <a:rPr lang="en-IN" sz="1400" b="1" u="none" strike="noStrike">
              <a:solidFill>
                <a:schemeClr val="tx1"/>
              </a:solidFill>
              <a:effectLst/>
              <a:latin typeface="Arial" panose="020B0604020202020204" pitchFamily="34" charset="0"/>
              <a:ea typeface="+mn-ea"/>
              <a:cs typeface="Arial" panose="020B0604020202020204" pitchFamily="34" charset="0"/>
            </a:rPr>
            <a:t>1) Digital Services (Jio Platforms Market Dominance):</a:t>
          </a:r>
          <a:r>
            <a:rPr lang="en-IN" sz="1400" b="0" u="none" strike="noStrike">
              <a:solidFill>
                <a:schemeClr val="tx1"/>
              </a:solidFill>
              <a:effectLst/>
              <a:latin typeface="Arial" panose="020B0604020202020204" pitchFamily="34" charset="0"/>
              <a:ea typeface="+mn-ea"/>
              <a:cs typeface="Arial" panose="020B0604020202020204" pitchFamily="34" charset="0"/>
            </a:rPr>
            <a:t> Jio Platforms emerges as the primary valuation anchor of the conglomerate, commanding 47.8% of</a:t>
          </a:r>
          <a:r>
            <a:rPr lang="en-IN" sz="1400" b="0" u="none" strike="noStrike" baseline="0">
              <a:solidFill>
                <a:schemeClr val="tx1"/>
              </a:solidFill>
              <a:effectLst/>
              <a:latin typeface="Arial" panose="020B0604020202020204" pitchFamily="34" charset="0"/>
              <a:ea typeface="+mn-ea"/>
              <a:cs typeface="Arial" panose="020B0604020202020204" pitchFamily="34" charset="0"/>
            </a:rPr>
            <a:t> the</a:t>
          </a:r>
          <a:r>
            <a:rPr lang="en-IN" sz="1400" b="0" u="none" strike="noStrike">
              <a:solidFill>
                <a:schemeClr val="tx1"/>
              </a:solidFill>
              <a:effectLst/>
              <a:latin typeface="Arial" panose="020B0604020202020204" pitchFamily="34" charset="0"/>
              <a:ea typeface="+mn-ea"/>
              <a:cs typeface="Arial" panose="020B0604020202020204" pitchFamily="34" charset="0"/>
            </a:rPr>
            <a:t> core SOTP Enterprise Value (₹11.90 Lakh Cr). Growth is robustly supported by post-tariff hike ARPU expansion to ₹214/month and structural 5G enterprise monetization, fully justifying a premium 14x base-case multiple.</a:t>
          </a:r>
        </a:p>
        <a:p>
          <a:endParaRPr lang="en-IN" sz="1400" b="0" u="none" strike="noStrike">
            <a:solidFill>
              <a:schemeClr val="tx1"/>
            </a:solidFill>
            <a:effectLst/>
            <a:latin typeface="Arial" panose="020B0604020202020204" pitchFamily="34" charset="0"/>
            <a:ea typeface="+mn-ea"/>
            <a:cs typeface="Arial" panose="020B0604020202020204" pitchFamily="34" charset="0"/>
          </a:endParaRPr>
        </a:p>
        <a:p>
          <a:r>
            <a:rPr lang="en-IN" sz="1400" b="1" u="none" strike="noStrike">
              <a:solidFill>
                <a:schemeClr val="tx1"/>
              </a:solidFill>
              <a:effectLst/>
              <a:latin typeface="Arial" panose="020B0604020202020204" pitchFamily="34" charset="0"/>
              <a:ea typeface="+mn-ea"/>
              <a:cs typeface="Arial" panose="020B0604020202020204" pitchFamily="34" charset="0"/>
            </a:rPr>
            <a:t>2) Reliance Retail Scale &amp; Margin Expansion:</a:t>
          </a:r>
          <a:r>
            <a:rPr lang="en-IN" sz="1400" b="0" u="none" strike="noStrike">
              <a:solidFill>
                <a:schemeClr val="tx1"/>
              </a:solidFill>
              <a:effectLst/>
              <a:latin typeface="Arial" panose="020B0604020202020204" pitchFamily="34" charset="0"/>
              <a:ea typeface="+mn-ea"/>
              <a:cs typeface="Arial" panose="020B0604020202020204" pitchFamily="34" charset="0"/>
            </a:rPr>
            <a:t> Reliance Retail functions as a premier consumer compounding vehicle, leveraging an unmatched pan-India physical footprint of 20,160 operational stores. The division captures massive secular tailwinds from organized retail penetration in India, with clear operating EBITDA margin expansion driven by supply chain scale efficiencies and localized digital fulfillment nodes.</a:t>
          </a:r>
        </a:p>
        <a:p>
          <a:endParaRPr lang="en-IN" sz="1400" b="0" u="none" strike="noStrike">
            <a:solidFill>
              <a:schemeClr val="tx1"/>
            </a:solidFill>
            <a:effectLst/>
            <a:latin typeface="Arial" panose="020B0604020202020204" pitchFamily="34" charset="0"/>
            <a:ea typeface="+mn-ea"/>
            <a:cs typeface="Arial" panose="020B0604020202020204" pitchFamily="34" charset="0"/>
          </a:endParaRPr>
        </a:p>
        <a:p>
          <a:r>
            <a:rPr lang="en-IN" sz="1400" b="1" u="none" strike="noStrike">
              <a:solidFill>
                <a:schemeClr val="tx1"/>
              </a:solidFill>
              <a:effectLst/>
              <a:latin typeface="Arial" panose="020B0604020202020204" pitchFamily="34" charset="0"/>
              <a:ea typeface="+mn-ea"/>
              <a:cs typeface="Arial" panose="020B0604020202020204" pitchFamily="34" charset="0"/>
            </a:rPr>
            <a:t>4) Structural Balance Sheet Improvement &amp; FCF Turnaround:</a:t>
          </a:r>
          <a:r>
            <a:rPr lang="en-IN" sz="1400" b="0" u="none" strike="noStrike">
              <a:solidFill>
                <a:schemeClr val="tx1"/>
              </a:solidFill>
              <a:effectLst/>
              <a:latin typeface="Arial" panose="020B0604020202020204" pitchFamily="34" charset="0"/>
              <a:ea typeface="+mn-ea"/>
              <a:cs typeface="Arial" panose="020B0604020202020204" pitchFamily="34" charset="0"/>
            </a:rPr>
            <a:t> The consolidated entity is transitioning from a capital-intensive infrastructure build phase into an aggressive cash-harvesting cycle. Supported by a strategic normalization of capital outlays to align terminal Capex with the ₹82,819 Cr Depreciation baseline, accelerating free cash flow (FCFF) conversion will drive Net Debt/EBITDA from 1.33x to below 1.0x, unlocking deep financial flexibility.</a:t>
          </a:r>
        </a:p>
        <a:p>
          <a:endParaRPr lang="en-IN" sz="1400" b="0" u="none" strike="noStrike">
            <a:solidFill>
              <a:schemeClr val="tx1"/>
            </a:solidFill>
            <a:effectLst/>
            <a:latin typeface="Arial" panose="020B0604020202020204" pitchFamily="34" charset="0"/>
            <a:ea typeface="+mn-ea"/>
            <a:cs typeface="Arial" panose="020B0604020202020204" pitchFamily="34" charset="0"/>
          </a:endParaRPr>
        </a:p>
        <a:p>
          <a:r>
            <a:rPr lang="en-IN" sz="1400" b="1" u="none" strike="noStrike">
              <a:solidFill>
                <a:schemeClr val="tx1"/>
              </a:solidFill>
              <a:effectLst/>
              <a:latin typeface="Arial" panose="020B0604020202020204" pitchFamily="34" charset="0"/>
              <a:ea typeface="+mn-ea"/>
              <a:cs typeface="Arial" panose="020B0604020202020204" pitchFamily="34" charset="0"/>
            </a:rPr>
            <a:t>3) Refining Core &amp; Upstream Cash Maximization:</a:t>
          </a:r>
          <a:r>
            <a:rPr lang="en-IN" sz="1400" b="0" u="none" strike="noStrike" baseline="0">
              <a:solidFill>
                <a:schemeClr val="tx1"/>
              </a:solidFill>
              <a:effectLst/>
              <a:latin typeface="Arial" panose="020B0604020202020204" pitchFamily="34" charset="0"/>
              <a:ea typeface="+mn-ea"/>
              <a:cs typeface="Arial" panose="020B0604020202020204" pitchFamily="34" charset="0"/>
            </a:rPr>
            <a:t> </a:t>
          </a:r>
          <a:r>
            <a:rPr lang="en-IN" sz="1400" b="0" u="none" strike="noStrike">
              <a:solidFill>
                <a:schemeClr val="tx1"/>
              </a:solidFill>
              <a:effectLst/>
              <a:latin typeface="Arial" panose="020B0604020202020204" pitchFamily="34" charset="0"/>
              <a:ea typeface="+mn-ea"/>
              <a:cs typeface="Arial" panose="020B0604020202020204" pitchFamily="34" charset="0"/>
            </a:rPr>
            <a:t>The legacy commodity portfolio provides a resilient, asset-heavy cash baseline for the group. The mature O2C division acts as a stable cash engine generating ₹60,546 Cr in baseline operating profit, while the domestic Upstream Oil &amp; Gas block delivers high-margin earnings insulated by stable deepwater production volumes (~25.9 MMSCMD), effectively funding the group's structural consumer digital capex requirements.</a:t>
          </a:r>
        </a:p>
        <a:p>
          <a:endParaRPr lang="en-IN" sz="1400" b="0" u="none" strike="noStrike">
            <a:solidFill>
              <a:schemeClr val="tx1"/>
            </a:solidFill>
            <a:effectLst/>
            <a:latin typeface="Arial" panose="020B0604020202020204" pitchFamily="34" charset="0"/>
            <a:ea typeface="+mn-ea"/>
            <a:cs typeface="Arial" panose="020B0604020202020204" pitchFamily="34" charset="0"/>
          </a:endParaRPr>
        </a:p>
        <a:p>
          <a:endParaRPr lang="en-IN" sz="1400" b="0" u="none" strike="noStrike">
            <a:solidFill>
              <a:schemeClr val="tx1"/>
            </a:solidFill>
            <a:effectLst/>
            <a:latin typeface="Arial" panose="020B0604020202020204" pitchFamily="34" charset="0"/>
            <a:ea typeface="+mn-ea"/>
            <a:cs typeface="Arial" panose="020B0604020202020204" pitchFamily="34" charset="0"/>
          </a:endParaRPr>
        </a:p>
        <a:p>
          <a:endParaRPr lang="en-GB" sz="13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6</xdr:col>
      <xdr:colOff>26321</xdr:colOff>
      <xdr:row>33</xdr:row>
      <xdr:rowOff>139630</xdr:rowOff>
    </xdr:from>
    <xdr:to>
      <xdr:col>12</xdr:col>
      <xdr:colOff>530746</xdr:colOff>
      <xdr:row>65</xdr:row>
      <xdr:rowOff>11546</xdr:rowOff>
    </xdr:to>
    <xdr:sp macro="" textlink="">
      <xdr:nvSpPr>
        <xdr:cNvPr id="3" name="Rectangle 2">
          <a:extLst>
            <a:ext uri="{FF2B5EF4-FFF2-40B4-BE49-F238E27FC236}">
              <a16:creationId xmlns:a16="http://schemas.microsoft.com/office/drawing/2014/main" id="{5EF3290D-273A-4B42-9848-2055C7C8EF10}"/>
            </a:ext>
          </a:extLst>
        </xdr:cNvPr>
        <xdr:cNvSpPr/>
      </xdr:nvSpPr>
      <xdr:spPr>
        <a:xfrm>
          <a:off x="8743139" y="6327994"/>
          <a:ext cx="8747880" cy="509046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u="sng">
              <a:solidFill>
                <a:schemeClr val="tx1"/>
              </a:solidFill>
              <a:latin typeface="Arial" panose="020B0604020202020204" pitchFamily="34" charset="0"/>
              <a:cs typeface="Arial" panose="020B0604020202020204" pitchFamily="34" charset="0"/>
            </a:rPr>
            <a:t>Key Operational &amp; Valuation</a:t>
          </a:r>
          <a:r>
            <a:rPr lang="en-IN" sz="1500" b="1" u="sng" baseline="0">
              <a:solidFill>
                <a:schemeClr val="tx1"/>
              </a:solidFill>
              <a:latin typeface="Arial" panose="020B0604020202020204" pitchFamily="34" charset="0"/>
              <a:cs typeface="Arial" panose="020B0604020202020204" pitchFamily="34" charset="0"/>
            </a:rPr>
            <a:t> </a:t>
          </a:r>
          <a:r>
            <a:rPr lang="en-IN" sz="1500" b="1" u="sng">
              <a:solidFill>
                <a:schemeClr val="tx1"/>
              </a:solidFill>
              <a:latin typeface="Arial" panose="020B0604020202020204" pitchFamily="34" charset="0"/>
              <a:cs typeface="Arial" panose="020B0604020202020204" pitchFamily="34" charset="0"/>
            </a:rPr>
            <a:t>Risks</a:t>
          </a:r>
        </a:p>
        <a:p>
          <a:pPr lvl="0" algn="l"/>
          <a:endParaRPr lang="en-IN" sz="1300" b="1" u="sng">
            <a:solidFill>
              <a:schemeClr val="tx1"/>
            </a:solidFill>
            <a:latin typeface="Arial" panose="020B0604020202020204" pitchFamily="34" charset="0"/>
            <a:cs typeface="Arial" panose="020B0604020202020204" pitchFamily="34" charset="0"/>
          </a:endParaRPr>
        </a:p>
        <a:p>
          <a:pPr lvl="0" algn="l"/>
          <a:r>
            <a:rPr lang="en-IN" sz="1400" b="1" u="none" strike="noStrike">
              <a:solidFill>
                <a:schemeClr val="tx1"/>
              </a:solidFill>
              <a:effectLst/>
              <a:latin typeface="Arial" panose="020B0604020202020204" pitchFamily="34" charset="0"/>
              <a:ea typeface="+mn-ea"/>
              <a:cs typeface="Arial" panose="020B0604020202020204" pitchFamily="34" charset="0"/>
            </a:rPr>
            <a:t>1) Commodity Cycle Risk (O2C Margin Sensitivity):</a:t>
          </a:r>
          <a:r>
            <a:rPr lang="en-IN" sz="1400" b="0" u="none" strike="noStrike">
              <a:solidFill>
                <a:schemeClr val="tx1"/>
              </a:solidFill>
              <a:effectLst/>
              <a:latin typeface="Arial" panose="020B0604020202020204" pitchFamily="34" charset="0"/>
              <a:ea typeface="+mn-ea"/>
              <a:cs typeface="Arial" panose="020B0604020202020204" pitchFamily="34" charset="0"/>
            </a:rPr>
            <a:t> Downstream O2C segment profitability remains highly sensitive to volatile global refining cracks and petrochemical spreads. The model structurally captures this cyclical variance by shifting the active Gross Refining Margin (GRM) from a peak of $13.03/bbl in the Bull Case down to a conservative $8.53/bbl in the Bear Case scenario, stress-testing core energy cash generation. </a:t>
          </a:r>
        </a:p>
        <a:p>
          <a:pPr lvl="0" algn="l"/>
          <a:endParaRPr lang="en-IN" sz="1400" b="0" u="none" strike="noStrike">
            <a:solidFill>
              <a:schemeClr val="tx1"/>
            </a:solidFill>
            <a:effectLst/>
            <a:latin typeface="Arial" panose="020B0604020202020204" pitchFamily="34" charset="0"/>
            <a:ea typeface="+mn-ea"/>
            <a:cs typeface="Arial" panose="020B0604020202020204" pitchFamily="34" charset="0"/>
          </a:endParaRPr>
        </a:p>
        <a:p>
          <a:pPr marL="0" lvl="0" indent="0" algn="l"/>
          <a:r>
            <a:rPr lang="en-IN" sz="1400" b="1" u="none" strike="noStrike">
              <a:solidFill>
                <a:schemeClr val="tx1"/>
              </a:solidFill>
              <a:effectLst/>
              <a:latin typeface="Arial" panose="020B0604020202020204" pitchFamily="34" charset="0"/>
              <a:ea typeface="+mn-ea"/>
              <a:cs typeface="Arial" panose="020B0604020202020204" pitchFamily="34" charset="0"/>
            </a:rPr>
            <a:t>2) Capital Intensity &amp; Cash Flow Visibility: </a:t>
          </a:r>
          <a:r>
            <a:rPr lang="en-IN" sz="1400" b="0" u="none" strike="noStrike">
              <a:solidFill>
                <a:schemeClr val="tx1"/>
              </a:solidFill>
              <a:effectLst/>
              <a:latin typeface="Arial" panose="020B0604020202020204" pitchFamily="34" charset="0"/>
              <a:ea typeface="+mn-ea"/>
              <a:cs typeface="Arial" panose="020B0604020202020204" pitchFamily="34" charset="0"/>
            </a:rPr>
            <a:t>Continuous large-scale infrastructure rollouts create heavy near-term free cash flow pressure. While near-term Capex remains aggressively high (~₹1.31 Lakh Cr in FY27), the Base Case model builds in a critical -31.58% terminal year growth contraction to align terminal Capex with the ₹82,819 Cr Depreciation baseline, establishing steady-state valuation stability</a:t>
          </a:r>
          <a:r>
            <a:rPr lang="en-IN" sz="1400" b="1" u="none" strike="noStrike">
              <a:solidFill>
                <a:schemeClr val="tx1"/>
              </a:solidFill>
              <a:effectLst/>
              <a:latin typeface="Arial" panose="020B0604020202020204" pitchFamily="34" charset="0"/>
              <a:ea typeface="+mn-ea"/>
              <a:cs typeface="Arial" panose="020B0604020202020204" pitchFamily="34" charset="0"/>
            </a:rPr>
            <a:t>.</a:t>
          </a:r>
        </a:p>
        <a:p>
          <a:pPr marL="0" lvl="0" indent="0" algn="l"/>
          <a:endParaRPr lang="en-IN" sz="1400" b="1" u="none" strike="noStrike">
            <a:solidFill>
              <a:schemeClr val="tx1"/>
            </a:solidFill>
            <a:effectLst/>
            <a:latin typeface="Arial" panose="020B0604020202020204" pitchFamily="34" charset="0"/>
            <a:ea typeface="+mn-ea"/>
            <a:cs typeface="Arial" panose="020B0604020202020204" pitchFamily="34" charset="0"/>
          </a:endParaRPr>
        </a:p>
        <a:p>
          <a:pPr marL="0" lvl="0" indent="0" algn="l"/>
          <a:r>
            <a:rPr lang="en-IN" sz="1400" b="1" u="none" strike="noStrike">
              <a:solidFill>
                <a:schemeClr val="tx1"/>
              </a:solidFill>
              <a:effectLst/>
              <a:latin typeface="Arial" panose="020B0604020202020204" pitchFamily="34" charset="0"/>
              <a:ea typeface="+mn-ea"/>
              <a:cs typeface="Arial" panose="020B0604020202020204" pitchFamily="34" charset="0"/>
            </a:rPr>
            <a:t>3) Upstream Resource Depletion &amp; Price Cap Risk (Oil &amp; Gas E&amp;P):</a:t>
          </a:r>
          <a:r>
            <a:rPr lang="en-IN" sz="1400" b="0" u="none" strike="noStrike" baseline="0">
              <a:solidFill>
                <a:schemeClr val="tx1"/>
              </a:solidFill>
              <a:effectLst/>
              <a:latin typeface="Arial" panose="020B0604020202020204" pitchFamily="34" charset="0"/>
              <a:ea typeface="+mn-ea"/>
              <a:cs typeface="Arial" panose="020B0604020202020204" pitchFamily="34" charset="0"/>
            </a:rPr>
            <a:t> </a:t>
          </a:r>
          <a:r>
            <a:rPr lang="en-IN" sz="1400" b="0" u="none" strike="noStrike">
              <a:solidFill>
                <a:schemeClr val="tx1"/>
              </a:solidFill>
              <a:effectLst/>
              <a:latin typeface="Arial" panose="020B0604020202020204" pitchFamily="34" charset="0"/>
              <a:ea typeface="+mn-ea"/>
              <a:cs typeface="Arial" panose="020B0604020202020204" pitchFamily="34" charset="0"/>
            </a:rPr>
            <a:t>Upstream gas production profiles from deepwater blocks (such as the KG-D6 basin) are subject to natural geological depletion risks and strict government-mandated domestic gas pricing ceilings. While your model incorporates steady-state production targets (~25.9 MMSCMD for FY26) to anchor baseline upstream revenues, any unexpected drilling delays or downward revisions in government price realizations will directly compress E&amp;P segment EBITDA, impacting your standalone valuation metrics.</a:t>
          </a:r>
          <a:endParaRPr lang="en-IN" sz="1400" b="1" u="none" strike="noStrike">
            <a:solidFill>
              <a:schemeClr val="tx1"/>
            </a:solidFill>
            <a:effectLst/>
            <a:latin typeface="Arial" panose="020B0604020202020204" pitchFamily="34" charset="0"/>
            <a:ea typeface="+mn-ea"/>
            <a:cs typeface="Arial" panose="020B0604020202020204" pitchFamily="34" charset="0"/>
          </a:endParaRPr>
        </a:p>
        <a:p>
          <a:pPr marL="0" lvl="0" indent="0" algn="l"/>
          <a:endParaRPr lang="en-IN" sz="1400" b="1" u="none" strike="noStrike">
            <a:solidFill>
              <a:schemeClr val="tx1"/>
            </a:solidFill>
            <a:effectLst/>
            <a:latin typeface="Arial" panose="020B0604020202020204" pitchFamily="34" charset="0"/>
            <a:ea typeface="+mn-ea"/>
            <a:cs typeface="Arial" panose="020B0604020202020204" pitchFamily="34" charset="0"/>
          </a:endParaRPr>
        </a:p>
        <a:p>
          <a:pPr marL="0" lvl="0" indent="0" algn="l"/>
          <a:r>
            <a:rPr lang="en-IN" sz="1400" b="1" u="none" strike="noStrike">
              <a:solidFill>
                <a:schemeClr val="tx1"/>
              </a:solidFill>
              <a:effectLst/>
              <a:latin typeface="Arial" panose="020B0604020202020204" pitchFamily="34" charset="0"/>
              <a:ea typeface="+mn-ea"/>
              <a:cs typeface="Arial" panose="020B0604020202020204" pitchFamily="34" charset="0"/>
            </a:rPr>
            <a:t>4) Sector Competition &amp; Valuation Ceilings:</a:t>
          </a:r>
          <a:r>
            <a:rPr lang="en-IN" sz="1400" b="0" u="none" strike="noStrike">
              <a:solidFill>
                <a:schemeClr val="tx1"/>
              </a:solidFill>
              <a:effectLst/>
              <a:latin typeface="Arial" panose="020B0604020202020204" pitchFamily="34" charset="0"/>
              <a:ea typeface="+mn-ea"/>
              <a:cs typeface="Arial" panose="020B0604020202020204" pitchFamily="34" charset="0"/>
            </a:rPr>
            <a:t> Consumer digital and retail segments face shifting competitive intensity and execution timelines. While the Bull Case utilizes optimistic target multiples (16x for Jio and 24x for Retail), the SOTP valuation incorporates an active -5.00% holding company conglomerate discount in the Base Case to cushion against near-term public market friction and holding company leaks.</a:t>
          </a:r>
          <a:endParaRPr lang="en-IN" sz="1400" b="1" u="none" strike="noStrike">
            <a:solidFill>
              <a:schemeClr val="tx1"/>
            </a:solidFill>
            <a:effectLst/>
            <a:latin typeface="Arial" panose="020B0604020202020204" pitchFamily="34" charset="0"/>
            <a:ea typeface="+mn-ea"/>
            <a:cs typeface="Arial" panose="020B0604020202020204" pitchFamily="34" charset="0"/>
          </a:endParaRPr>
        </a:p>
        <a:p>
          <a:endParaRPr lang="en-IN" sz="15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11901</xdr:colOff>
      <xdr:row>73</xdr:row>
      <xdr:rowOff>93752</xdr:rowOff>
    </xdr:from>
    <xdr:to>
      <xdr:col>3</xdr:col>
      <xdr:colOff>100801</xdr:colOff>
      <xdr:row>90</xdr:row>
      <xdr:rowOff>41797</xdr:rowOff>
    </xdr:to>
    <xdr:graphicFrame macro="">
      <xdr:nvGraphicFramePr>
        <xdr:cNvPr id="4" name="Chart 3">
          <a:extLst>
            <a:ext uri="{FF2B5EF4-FFF2-40B4-BE49-F238E27FC236}">
              <a16:creationId xmlns:a16="http://schemas.microsoft.com/office/drawing/2014/main" id="{FB2CD0C7-AC1B-364B-E67B-AF893FCB7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321897</xdr:colOff>
      <xdr:row>71</xdr:row>
      <xdr:rowOff>104015</xdr:rowOff>
    </xdr:from>
    <xdr:to>
      <xdr:col>3</xdr:col>
      <xdr:colOff>77362</xdr:colOff>
      <xdr:row>73</xdr:row>
      <xdr:rowOff>63975</xdr:rowOff>
    </xdr:to>
    <xdr:sp macro="" textlink="">
      <xdr:nvSpPr>
        <xdr:cNvPr id="5" name="Rectangle 4">
          <a:extLst>
            <a:ext uri="{FF2B5EF4-FFF2-40B4-BE49-F238E27FC236}">
              <a16:creationId xmlns:a16="http://schemas.microsoft.com/office/drawing/2014/main" id="{24B29212-A9DF-2C4E-BDE7-3DBAC5FE5BD0}"/>
            </a:ext>
          </a:extLst>
        </xdr:cNvPr>
        <xdr:cNvSpPr/>
      </xdr:nvSpPr>
      <xdr:spPr>
        <a:xfrm>
          <a:off x="321897" y="12576813"/>
          <a:ext cx="5767575" cy="286199"/>
        </a:xfrm>
        <a:prstGeom prst="rect">
          <a:avLst/>
        </a:prstGeom>
        <a:solidFill>
          <a:srgbClr val="00206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latin typeface="Arial" panose="020B0604020202020204" pitchFamily="34" charset="0"/>
              <a:cs typeface="Arial" panose="020B0604020202020204" pitchFamily="34" charset="0"/>
            </a:rPr>
            <a:t>Chart 2: Revenue &amp; EBITDA Growth Outlook (FY26-</a:t>
          </a:r>
          <a:r>
            <a:rPr lang="en-GB" sz="1100" b="1" baseline="0">
              <a:latin typeface="Arial" panose="020B0604020202020204" pitchFamily="34" charset="0"/>
              <a:cs typeface="Arial" panose="020B0604020202020204" pitchFamily="34" charset="0"/>
            </a:rPr>
            <a:t> FY31</a:t>
          </a:r>
          <a:endParaRPr lang="en-GB" sz="1100" b="1">
            <a:latin typeface="Arial" panose="020B0604020202020204" pitchFamily="34" charset="0"/>
            <a:cs typeface="Arial" panose="020B0604020202020204" pitchFamily="34" charset="0"/>
          </a:endParaRPr>
        </a:p>
      </xdr:txBody>
    </xdr:sp>
    <xdr:clientData/>
  </xdr:twoCellAnchor>
  <xdr:twoCellAnchor>
    <xdr:from>
      <xdr:col>4</xdr:col>
      <xdr:colOff>164690</xdr:colOff>
      <xdr:row>71</xdr:row>
      <xdr:rowOff>114660</xdr:rowOff>
    </xdr:from>
    <xdr:to>
      <xdr:col>7</xdr:col>
      <xdr:colOff>1591742</xdr:colOff>
      <xdr:row>73</xdr:row>
      <xdr:rowOff>72575</xdr:rowOff>
    </xdr:to>
    <xdr:sp macro="" textlink="">
      <xdr:nvSpPr>
        <xdr:cNvPr id="6" name="Rectangle 5">
          <a:extLst>
            <a:ext uri="{FF2B5EF4-FFF2-40B4-BE49-F238E27FC236}">
              <a16:creationId xmlns:a16="http://schemas.microsoft.com/office/drawing/2014/main" id="{66341ABD-0B68-CD43-8E48-02A3C4A82B67}"/>
            </a:ext>
          </a:extLst>
        </xdr:cNvPr>
        <xdr:cNvSpPr/>
      </xdr:nvSpPr>
      <xdr:spPr>
        <a:xfrm>
          <a:off x="7074582" y="12637133"/>
          <a:ext cx="4130923" cy="285657"/>
        </a:xfrm>
        <a:prstGeom prst="rect">
          <a:avLst/>
        </a:prstGeom>
        <a:solidFill>
          <a:srgbClr val="00206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latin typeface="Arial" panose="020B0604020202020204" pitchFamily="34" charset="0"/>
              <a:cs typeface="Arial" panose="020B0604020202020204" pitchFamily="34" charset="0"/>
            </a:rPr>
            <a:t>Chart 3: </a:t>
          </a:r>
          <a:r>
            <a:rPr lang="en-IN" b="1">
              <a:latin typeface="Arial" panose="020B0604020202020204" pitchFamily="34" charset="0"/>
              <a:cs typeface="Arial" panose="020B0604020202020204" pitchFamily="34" charset="0"/>
            </a:rPr>
            <a:t>EBITDA Margin Expansion</a:t>
          </a:r>
          <a:endParaRPr lang="en-GB" sz="1100" b="1">
            <a:latin typeface="Arial" panose="020B0604020202020204" pitchFamily="34" charset="0"/>
            <a:cs typeface="Arial" panose="020B0604020202020204" pitchFamily="34" charset="0"/>
          </a:endParaRPr>
        </a:p>
      </xdr:txBody>
    </xdr:sp>
    <xdr:clientData/>
  </xdr:twoCellAnchor>
  <xdr:twoCellAnchor>
    <xdr:from>
      <xdr:col>4</xdr:col>
      <xdr:colOff>174418</xdr:colOff>
      <xdr:row>73</xdr:row>
      <xdr:rowOff>155698</xdr:rowOff>
    </xdr:from>
    <xdr:to>
      <xdr:col>7</xdr:col>
      <xdr:colOff>1611827</xdr:colOff>
      <xdr:row>89</xdr:row>
      <xdr:rowOff>81230</xdr:rowOff>
    </xdr:to>
    <xdr:graphicFrame macro="">
      <xdr:nvGraphicFramePr>
        <xdr:cNvPr id="7" name="Chart 6">
          <a:extLst>
            <a:ext uri="{FF2B5EF4-FFF2-40B4-BE49-F238E27FC236}">
              <a16:creationId xmlns:a16="http://schemas.microsoft.com/office/drawing/2014/main" id="{C393B77C-9171-3F62-1448-5A771BAFF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3031946</xdr:colOff>
      <xdr:row>73</xdr:row>
      <xdr:rowOff>60056</xdr:rowOff>
    </xdr:from>
    <xdr:to>
      <xdr:col>12</xdr:col>
      <xdr:colOff>268467</xdr:colOff>
      <xdr:row>89</xdr:row>
      <xdr:rowOff>22074</xdr:rowOff>
    </xdr:to>
    <xdr:graphicFrame macro="">
      <xdr:nvGraphicFramePr>
        <xdr:cNvPr id="8" name="Chart 7">
          <a:extLst>
            <a:ext uri="{FF2B5EF4-FFF2-40B4-BE49-F238E27FC236}">
              <a16:creationId xmlns:a16="http://schemas.microsoft.com/office/drawing/2014/main" id="{53E9A901-7469-40FE-D3E1-903745C2E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2963196</xdr:colOff>
      <xdr:row>71</xdr:row>
      <xdr:rowOff>92524</xdr:rowOff>
    </xdr:from>
    <xdr:to>
      <xdr:col>12</xdr:col>
      <xdr:colOff>235969</xdr:colOff>
      <xdr:row>73</xdr:row>
      <xdr:rowOff>56643</xdr:rowOff>
    </xdr:to>
    <xdr:sp macro="" textlink="">
      <xdr:nvSpPr>
        <xdr:cNvPr id="13" name="Rectangle 12">
          <a:extLst>
            <a:ext uri="{FF2B5EF4-FFF2-40B4-BE49-F238E27FC236}">
              <a16:creationId xmlns:a16="http://schemas.microsoft.com/office/drawing/2014/main" id="{35ED0B3B-B499-004A-A732-176DF9C0934A}"/>
            </a:ext>
          </a:extLst>
        </xdr:cNvPr>
        <xdr:cNvSpPr/>
      </xdr:nvSpPr>
      <xdr:spPr>
        <a:xfrm>
          <a:off x="12576959" y="12614997"/>
          <a:ext cx="4565032" cy="291861"/>
        </a:xfrm>
        <a:prstGeom prst="rect">
          <a:avLst/>
        </a:prstGeom>
        <a:solidFill>
          <a:srgbClr val="00206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latin typeface="Arial" panose="020B0604020202020204" pitchFamily="34" charset="0"/>
              <a:cs typeface="Arial" panose="020B0604020202020204" pitchFamily="34" charset="0"/>
            </a:rPr>
            <a:t>Chart 4: </a:t>
          </a:r>
          <a:r>
            <a:rPr lang="en-IN" b="1">
              <a:latin typeface="Arial" panose="020B0604020202020204" pitchFamily="34" charset="0"/>
              <a:cs typeface="Arial" panose="020B0604020202020204" pitchFamily="34" charset="0"/>
            </a:rPr>
            <a:t>SOTP Enterprise Value Contribution</a:t>
          </a:r>
          <a:endParaRPr lang="en-GB" sz="1100" b="1">
            <a:latin typeface="Arial" panose="020B0604020202020204" pitchFamily="34" charset="0"/>
            <a:cs typeface="Arial" panose="020B0604020202020204" pitchFamily="34" charset="0"/>
          </a:endParaRPr>
        </a:p>
      </xdr:txBody>
    </xdr:sp>
    <xdr:clientData/>
  </xdr:twoCellAnchor>
  <xdr:twoCellAnchor>
    <xdr:from>
      <xdr:col>2</xdr:col>
      <xdr:colOff>858295</xdr:colOff>
      <xdr:row>4</xdr:row>
      <xdr:rowOff>1</xdr:rowOff>
    </xdr:from>
    <xdr:to>
      <xdr:col>6</xdr:col>
      <xdr:colOff>865274</xdr:colOff>
      <xdr:row>14</xdr:row>
      <xdr:rowOff>69780</xdr:rowOff>
    </xdr:to>
    <xdr:graphicFrame macro="">
      <xdr:nvGraphicFramePr>
        <xdr:cNvPr id="14" name="Chart 13">
          <a:extLst>
            <a:ext uri="{FF2B5EF4-FFF2-40B4-BE49-F238E27FC236}">
              <a16:creationId xmlns:a16="http://schemas.microsoft.com/office/drawing/2014/main" id="{0AF9E1A6-6728-BD32-BB12-0265026A7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826976</xdr:colOff>
      <xdr:row>2</xdr:row>
      <xdr:rowOff>29535</xdr:rowOff>
    </xdr:from>
    <xdr:to>
      <xdr:col>7</xdr:col>
      <xdr:colOff>61576</xdr:colOff>
      <xdr:row>3</xdr:row>
      <xdr:rowOff>154656</xdr:rowOff>
    </xdr:to>
    <xdr:sp macro="" textlink="">
      <xdr:nvSpPr>
        <xdr:cNvPr id="15" name="Rectangle 14">
          <a:extLst>
            <a:ext uri="{FF2B5EF4-FFF2-40B4-BE49-F238E27FC236}">
              <a16:creationId xmlns:a16="http://schemas.microsoft.com/office/drawing/2014/main" id="{D4AE9281-4CB6-D54F-9BDC-6AE444551903}"/>
            </a:ext>
          </a:extLst>
        </xdr:cNvPr>
        <xdr:cNvSpPr/>
      </xdr:nvSpPr>
      <xdr:spPr>
        <a:xfrm>
          <a:off x="4459946" y="429777"/>
          <a:ext cx="3737327" cy="286758"/>
        </a:xfrm>
        <a:prstGeom prst="rect">
          <a:avLst/>
        </a:prstGeom>
        <a:solidFill>
          <a:srgbClr val="00206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latin typeface="Arial" panose="020B0604020202020204" pitchFamily="34" charset="0"/>
              <a:cs typeface="Arial" panose="020B0604020202020204" pitchFamily="34" charset="0"/>
            </a:rPr>
            <a:t>Chart 1:</a:t>
          </a:r>
          <a:r>
            <a:rPr lang="en-GB" sz="1100" b="1" baseline="0">
              <a:latin typeface="Arial" panose="020B0604020202020204" pitchFamily="34" charset="0"/>
              <a:cs typeface="Arial" panose="020B0604020202020204" pitchFamily="34" charset="0"/>
            </a:rPr>
            <a:t> Valuation Comparison </a:t>
          </a:r>
          <a:endParaRPr lang="en-GB" sz="1100" b="1">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823783</xdr:colOff>
      <xdr:row>1</xdr:row>
      <xdr:rowOff>71549</xdr:rowOff>
    </xdr:from>
    <xdr:to>
      <xdr:col>8</xdr:col>
      <xdr:colOff>14711</xdr:colOff>
      <xdr:row>2</xdr:row>
      <xdr:rowOff>116267</xdr:rowOff>
    </xdr:to>
    <xdr:sp macro="" textlink="">
      <xdr:nvSpPr>
        <xdr:cNvPr id="2" name="Rectangle 1">
          <a:extLst>
            <a:ext uri="{FF2B5EF4-FFF2-40B4-BE49-F238E27FC236}">
              <a16:creationId xmlns:a16="http://schemas.microsoft.com/office/drawing/2014/main" id="{57059C8B-77FE-B081-BB09-1A745D3C9ECB}"/>
            </a:ext>
          </a:extLst>
        </xdr:cNvPr>
        <xdr:cNvSpPr/>
      </xdr:nvSpPr>
      <xdr:spPr>
        <a:xfrm>
          <a:off x="3618764" y="311819"/>
          <a:ext cx="4133630" cy="211436"/>
        </a:xfrm>
        <a:prstGeom prst="rect">
          <a:avLst/>
        </a:prstGeom>
        <a:solidFill>
          <a:srgbClr val="00206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latin typeface="Arial" panose="020B0604020202020204" pitchFamily="34" charset="0"/>
              <a:cs typeface="Arial" panose="020B0604020202020204" pitchFamily="34" charset="0"/>
            </a:rPr>
            <a:t>Terminal Growth Rate</a:t>
          </a:r>
        </a:p>
      </xdr:txBody>
    </xdr:sp>
    <xdr:clientData/>
  </xdr:twoCellAnchor>
  <xdr:twoCellAnchor>
    <xdr:from>
      <xdr:col>1</xdr:col>
      <xdr:colOff>2396067</xdr:colOff>
      <xdr:row>3</xdr:row>
      <xdr:rowOff>4164</xdr:rowOff>
    </xdr:from>
    <xdr:to>
      <xdr:col>1</xdr:col>
      <xdr:colOff>2633133</xdr:colOff>
      <xdr:row>9</xdr:row>
      <xdr:rowOff>8466</xdr:rowOff>
    </xdr:to>
    <xdr:sp macro="" textlink="">
      <xdr:nvSpPr>
        <xdr:cNvPr id="3" name="Rectangle 2">
          <a:extLst>
            <a:ext uri="{FF2B5EF4-FFF2-40B4-BE49-F238E27FC236}">
              <a16:creationId xmlns:a16="http://schemas.microsoft.com/office/drawing/2014/main" id="{EFC32552-2548-4177-8AE3-AB845BAB4BFA}"/>
            </a:ext>
          </a:extLst>
        </xdr:cNvPr>
        <xdr:cNvSpPr/>
      </xdr:nvSpPr>
      <xdr:spPr>
        <a:xfrm>
          <a:off x="2396067" y="591279"/>
          <a:ext cx="237066" cy="107859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GB" sz="1100" b="1">
              <a:latin typeface="Arial" panose="020B0604020202020204" pitchFamily="34" charset="0"/>
              <a:cs typeface="Arial" panose="020B0604020202020204" pitchFamily="34" charset="0"/>
            </a:rPr>
            <a:t>WACC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277797</xdr:colOff>
      <xdr:row>35</xdr:row>
      <xdr:rowOff>94723</xdr:rowOff>
    </xdr:from>
    <xdr:to>
      <xdr:col>15</xdr:col>
      <xdr:colOff>751473</xdr:colOff>
      <xdr:row>45</xdr:row>
      <xdr:rowOff>52800</xdr:rowOff>
    </xdr:to>
    <xdr:sp macro="" textlink="">
      <xdr:nvSpPr>
        <xdr:cNvPr id="2" name="Rectangle 1">
          <a:extLst>
            <a:ext uri="{FF2B5EF4-FFF2-40B4-BE49-F238E27FC236}">
              <a16:creationId xmlns:a16="http://schemas.microsoft.com/office/drawing/2014/main" id="{705C6BFA-5753-380E-5E8E-ADDFDEE7E68C}"/>
            </a:ext>
          </a:extLst>
        </xdr:cNvPr>
        <xdr:cNvSpPr/>
      </xdr:nvSpPr>
      <xdr:spPr>
        <a:xfrm>
          <a:off x="10370064" y="7071256"/>
          <a:ext cx="10057942" cy="1702211"/>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u="sng">
              <a:solidFill>
                <a:schemeClr val="tx1"/>
              </a:solidFill>
              <a:latin typeface="Arial" panose="020B0604020202020204" pitchFamily="34" charset="0"/>
              <a:cs typeface="Arial" panose="020B0604020202020204" pitchFamily="34" charset="0"/>
            </a:rPr>
            <a:t>Peer Selection Methodology</a:t>
          </a:r>
        </a:p>
        <a:p>
          <a:pPr algn="l"/>
          <a:endParaRPr lang="en-IN" sz="1400">
            <a:solidFill>
              <a:schemeClr val="tx1"/>
            </a:solidFill>
            <a:latin typeface="Arial" panose="020B0604020202020204" pitchFamily="34" charset="0"/>
            <a:cs typeface="Arial" panose="020B0604020202020204" pitchFamily="34" charset="0"/>
          </a:endParaRPr>
        </a:p>
        <a:p>
          <a:pPr algn="l"/>
          <a:r>
            <a:rPr lang="en-IN" sz="1400">
              <a:solidFill>
                <a:schemeClr val="tx1"/>
              </a:solidFill>
              <a:latin typeface="Arial" panose="020B0604020202020204" pitchFamily="34" charset="0"/>
              <a:cs typeface="Arial" panose="020B0604020202020204" pitchFamily="34" charset="0"/>
            </a:rPr>
            <a:t>• Bharti Airtel selected for Telecom comparison. </a:t>
          </a:r>
        </a:p>
        <a:p>
          <a:pPr algn="l"/>
          <a:r>
            <a:rPr lang="en-IN" sz="1400">
              <a:solidFill>
                <a:schemeClr val="tx1"/>
              </a:solidFill>
              <a:latin typeface="Arial" panose="020B0604020202020204" pitchFamily="34" charset="0"/>
              <a:cs typeface="Arial" panose="020B0604020202020204" pitchFamily="34" charset="0"/>
            </a:rPr>
            <a:t>• DMart selected for Retail comparison. </a:t>
          </a:r>
        </a:p>
        <a:p>
          <a:pPr algn="l"/>
          <a:r>
            <a:rPr lang="en-IN" sz="1400">
              <a:solidFill>
                <a:schemeClr val="tx1"/>
              </a:solidFill>
              <a:latin typeface="Arial" panose="020B0604020202020204" pitchFamily="34" charset="0"/>
              <a:cs typeface="Arial" panose="020B0604020202020204" pitchFamily="34" charset="0"/>
            </a:rPr>
            <a:t>• IOC selected for O2C. </a:t>
          </a:r>
        </a:p>
        <a:p>
          <a:pPr algn="l"/>
          <a:r>
            <a:rPr lang="en-IN" sz="1400">
              <a:solidFill>
                <a:schemeClr val="tx1"/>
              </a:solidFill>
              <a:latin typeface="Arial" panose="020B0604020202020204" pitchFamily="34" charset="0"/>
              <a:cs typeface="Arial" panose="020B0604020202020204" pitchFamily="34" charset="0"/>
            </a:rPr>
            <a:t>• ONGC selected for Upstream business. </a:t>
          </a:r>
        </a:p>
        <a:p>
          <a:pPr algn="l"/>
          <a:r>
            <a:rPr lang="en-IN" sz="1400">
              <a:solidFill>
                <a:schemeClr val="tx1"/>
              </a:solidFill>
              <a:latin typeface="Arial" panose="020B0604020202020204" pitchFamily="34" charset="0"/>
              <a:cs typeface="Arial" panose="020B0604020202020204" pitchFamily="34" charset="0"/>
            </a:rPr>
            <a:t>• Adani Enterprises selected as diversified infrastructure peer.</a:t>
          </a:r>
          <a:endParaRPr lang="en-GB" sz="1400">
            <a:solidFill>
              <a:schemeClr val="tx1"/>
            </a:solidFill>
            <a:latin typeface="Arial" panose="020B0604020202020204" pitchFamily="34" charset="0"/>
            <a:cs typeface="Arial" panose="020B0604020202020204" pitchFamily="34" charset="0"/>
          </a:endParaRPr>
        </a:p>
      </xdr:txBody>
    </xdr:sp>
    <xdr:clientData/>
  </xdr:twoCellAnchor>
  <xdr:twoCellAnchor>
    <xdr:from>
      <xdr:col>2</xdr:col>
      <xdr:colOff>1466272</xdr:colOff>
      <xdr:row>136</xdr:row>
      <xdr:rowOff>11545</xdr:rowOff>
    </xdr:from>
    <xdr:to>
      <xdr:col>6</xdr:col>
      <xdr:colOff>484909</xdr:colOff>
      <xdr:row>144</xdr:row>
      <xdr:rowOff>11546</xdr:rowOff>
    </xdr:to>
    <xdr:sp macro="" textlink="">
      <xdr:nvSpPr>
        <xdr:cNvPr id="3" name="Rectangle 2">
          <a:extLst>
            <a:ext uri="{FF2B5EF4-FFF2-40B4-BE49-F238E27FC236}">
              <a16:creationId xmlns:a16="http://schemas.microsoft.com/office/drawing/2014/main" id="{13DB0366-5001-7BD0-91ED-42A33615FE25}"/>
            </a:ext>
          </a:extLst>
        </xdr:cNvPr>
        <xdr:cNvSpPr/>
      </xdr:nvSpPr>
      <xdr:spPr>
        <a:xfrm>
          <a:off x="5853545" y="24718818"/>
          <a:ext cx="6107546" cy="130463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300">
              <a:latin typeface="Arial" panose="020B0604020202020204" pitchFamily="34" charset="0"/>
              <a:cs typeface="Arial" panose="020B0604020202020204" pitchFamily="34" charset="0"/>
            </a:rPr>
            <a:t>Comparable valuation indicates a target price of ₹1,740.65 per share, implying 31.52% upside to the current market price. However, the wide dispersion across valuation methodologies highlights the limitations of applying consolidated trading multiples to Reliance's diversified business structure. Segment-level comparable valuation is therefore used as the primary relative-valuation framework, with consolidated comps serving as a cross-check.</a:t>
          </a:r>
          <a:endParaRPr lang="en-GB" sz="1300">
            <a:solidFill>
              <a:schemeClr val="tx1"/>
            </a:solidFill>
            <a:latin typeface="Arial" panose="020B0604020202020204" pitchFamily="34" charset="0"/>
            <a:cs typeface="Arial" panose="020B0604020202020204" pitchFamily="34" charset="0"/>
          </a:endParaRPr>
        </a:p>
      </xdr:txBody>
    </xdr:sp>
    <xdr:clientData/>
  </xdr:twoCellAnchor>
  <xdr:twoCellAnchor>
    <xdr:from>
      <xdr:col>4</xdr:col>
      <xdr:colOff>357327</xdr:colOff>
      <xdr:row>126</xdr:row>
      <xdr:rowOff>33860</xdr:rowOff>
    </xdr:from>
    <xdr:to>
      <xdr:col>9</xdr:col>
      <xdr:colOff>85379</xdr:colOff>
      <xdr:row>132</xdr:row>
      <xdr:rowOff>202773</xdr:rowOff>
    </xdr:to>
    <xdr:sp macro="" textlink="">
      <xdr:nvSpPr>
        <xdr:cNvPr id="4" name="Rectangle 3">
          <a:extLst>
            <a:ext uri="{FF2B5EF4-FFF2-40B4-BE49-F238E27FC236}">
              <a16:creationId xmlns:a16="http://schemas.microsoft.com/office/drawing/2014/main" id="{9C5F1B25-CB7C-C64B-ABC7-DF6BF4467CAD}"/>
            </a:ext>
          </a:extLst>
        </xdr:cNvPr>
        <xdr:cNvSpPr/>
      </xdr:nvSpPr>
      <xdr:spPr>
        <a:xfrm>
          <a:off x="8969848" y="22925877"/>
          <a:ext cx="5779228" cy="1044039"/>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300">
              <a:latin typeface="Arial" panose="020B0604020202020204" pitchFamily="34" charset="0"/>
              <a:cs typeface="Arial" panose="020B0604020202020204" pitchFamily="34" charset="0"/>
            </a:rPr>
            <a:t>The weighting matrix scales metrics based on structural relevance: 70% of the cross-check allocation is anchored directly to operating profitability and core equity earnings (EV/EBITDA and P/E), while 30% is split equally between tangible asset backing (P/B) and top-line operating scale (EV/Sales).</a:t>
          </a:r>
          <a:endParaRPr lang="en-GB" sz="1300">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7880</xdr:colOff>
      <xdr:row>78</xdr:row>
      <xdr:rowOff>184410</xdr:rowOff>
    </xdr:from>
    <xdr:to>
      <xdr:col>10</xdr:col>
      <xdr:colOff>66132</xdr:colOff>
      <xdr:row>85</xdr:row>
      <xdr:rowOff>48523</xdr:rowOff>
    </xdr:to>
    <xdr:sp macro="" textlink="">
      <xdr:nvSpPr>
        <xdr:cNvPr id="5" name="Rectangle 4">
          <a:extLst>
            <a:ext uri="{FF2B5EF4-FFF2-40B4-BE49-F238E27FC236}">
              <a16:creationId xmlns:a16="http://schemas.microsoft.com/office/drawing/2014/main" id="{ACBA98BA-5F86-3D4C-BB0B-32C55056A184}"/>
            </a:ext>
          </a:extLst>
        </xdr:cNvPr>
        <xdr:cNvSpPr/>
      </xdr:nvSpPr>
      <xdr:spPr>
        <a:xfrm>
          <a:off x="9977380" y="14370310"/>
          <a:ext cx="5785952" cy="1070613"/>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300" b="0" i="0" u="none" strike="noStrike">
              <a:solidFill>
                <a:schemeClr val="dk1"/>
              </a:solidFill>
              <a:effectLst/>
              <a:latin typeface="Arial" panose="020B0604020202020204" pitchFamily="34" charset="0"/>
              <a:ea typeface="+mn-ea"/>
              <a:cs typeface="Arial" panose="020B0604020202020204" pitchFamily="34" charset="0"/>
            </a:rPr>
            <a:t>"O2C and Upstream segments are valued at 6.5x and 5.5x EV/EBITDA respectively, representing a structural premium to domestic public-sector peers (IOCL and ONGC). This premium explicitly removes the state-ownership discount and reflects Reliance’s superior refining complexity index and deepwater gross margin outperformance."</a:t>
          </a:r>
        </a:p>
        <a:p>
          <a:pPr algn="l"/>
          <a:endParaRPr lang="en-GB" sz="1300">
            <a:solidFill>
              <a:schemeClr val="tx1"/>
            </a:solidFill>
            <a:latin typeface="Arial" panose="020B0604020202020204" pitchFamily="34" charset="0"/>
            <a:cs typeface="Arial" panose="020B0604020202020204" pitchFamily="34" charset="0"/>
          </a:endParaRPr>
        </a:p>
      </xdr:txBody>
    </xdr:sp>
    <xdr:clientData/>
  </xdr:twoCellAnchor>
  <xdr:twoCellAnchor>
    <xdr:from>
      <xdr:col>3</xdr:col>
      <xdr:colOff>988838</xdr:colOff>
      <xdr:row>212</xdr:row>
      <xdr:rowOff>146560</xdr:rowOff>
    </xdr:from>
    <xdr:to>
      <xdr:col>6</xdr:col>
      <xdr:colOff>247639</xdr:colOff>
      <xdr:row>225</xdr:row>
      <xdr:rowOff>160574</xdr:rowOff>
    </xdr:to>
    <xdr:graphicFrame macro="">
      <xdr:nvGraphicFramePr>
        <xdr:cNvPr id="6" name="Chart 5">
          <a:extLst>
            <a:ext uri="{FF2B5EF4-FFF2-40B4-BE49-F238E27FC236}">
              <a16:creationId xmlns:a16="http://schemas.microsoft.com/office/drawing/2014/main" id="{E54E2EE3-2B8C-4ABE-FD69-ABA83EE7A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5726A8-35A4-2443-B7FB-26B5716F349E}" name="Table1" displayName="Table1" ref="A205:D209" totalsRowShown="0" headerRowDxfId="5" dataDxfId="4">
  <autoFilter ref="A205:D209" xr:uid="{555726A8-35A4-2443-B7FB-26B5716F349E}"/>
  <tableColumns count="4">
    <tableColumn id="1" xr3:uid="{FFFDF8BE-2A45-8746-8842-74B08B4BE3C4}" name="Valuation Method" dataDxfId="3"/>
    <tableColumn id="2" xr3:uid="{4620212B-8EB2-C342-8693-DC8ED947E761}" name="Target Price" dataDxfId="2"/>
    <tableColumn id="3" xr3:uid="{CCDE970D-C6B4-784B-A28B-BB772F65EBF8}" name="Weight" dataDxfId="1"/>
    <tableColumn id="4" xr3:uid="{1EA3B276-4BA2-274C-AF44-25F1A47EA891}" name="Weighted Value" dataDxfId="0">
      <calculatedColumnFormula>Table1[[#This Row],[Target Price]]*Table1[[#This Row],[Weight]]</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75CB-43A1-41B9-9A4A-DD70DC72C585}">
  <sheetPr>
    <tabColor rgb="FFC00000"/>
  </sheetPr>
  <dimension ref="B9:D41"/>
  <sheetViews>
    <sheetView zoomScale="72" zoomScaleNormal="72" workbookViewId="0">
      <selection activeCell="B4" sqref="B4"/>
    </sheetView>
  </sheetViews>
  <sheetFormatPr baseColWidth="10" defaultColWidth="9.1640625" defaultRowHeight="13" x14ac:dyDescent="0.15"/>
  <cols>
    <col min="1" max="1" width="2" style="1" customWidth="1"/>
    <col min="2" max="2" width="44" style="1" bestFit="1" customWidth="1"/>
    <col min="3" max="3" width="30" style="1" bestFit="1" customWidth="1"/>
    <col min="4" max="16384" width="9.1640625" style="1"/>
  </cols>
  <sheetData>
    <row r="9" spans="2:3" ht="49" x14ac:dyDescent="0.15">
      <c r="B9" s="2"/>
      <c r="C9" s="5"/>
    </row>
    <row r="10" spans="2:3" ht="49" x14ac:dyDescent="0.15">
      <c r="B10" s="2"/>
      <c r="C10" s="5"/>
    </row>
    <row r="11" spans="2:3" ht="14" customHeight="1" x14ac:dyDescent="0.15"/>
    <row r="15" spans="2:3" ht="17" thickBot="1" x14ac:dyDescent="0.2">
      <c r="B15" s="182" t="s">
        <v>465</v>
      </c>
    </row>
    <row r="16" spans="2:3" ht="14" thickBot="1" x14ac:dyDescent="0.2">
      <c r="B16" s="181" t="s">
        <v>468</v>
      </c>
      <c r="C16" s="178" t="s">
        <v>187</v>
      </c>
    </row>
    <row r="17" spans="2:4" ht="14" thickBot="1" x14ac:dyDescent="0.2">
      <c r="B17" s="181" t="s">
        <v>469</v>
      </c>
      <c r="C17" s="179" t="s">
        <v>466</v>
      </c>
    </row>
    <row r="18" spans="2:4" ht="14" thickBot="1" x14ac:dyDescent="0.2">
      <c r="B18" s="181" t="s">
        <v>10</v>
      </c>
      <c r="C18" s="179" t="s">
        <v>467</v>
      </c>
    </row>
    <row r="19" spans="2:4" ht="14" thickBot="1" x14ac:dyDescent="0.2">
      <c r="B19" s="181" t="s">
        <v>190</v>
      </c>
      <c r="C19" s="180">
        <v>46247</v>
      </c>
    </row>
    <row r="20" spans="2:4" ht="18" x14ac:dyDescent="0.15">
      <c r="B20" s="84"/>
    </row>
    <row r="21" spans="2:4" ht="17" thickBot="1" x14ac:dyDescent="0.2">
      <c r="B21" s="182" t="s">
        <v>470</v>
      </c>
    </row>
    <row r="22" spans="2:4" ht="14" thickBot="1" x14ac:dyDescent="0.2">
      <c r="B22" s="187" t="s">
        <v>183</v>
      </c>
      <c r="C22" s="187" t="s">
        <v>471</v>
      </c>
    </row>
    <row r="23" spans="2:4" ht="14" thickBot="1" x14ac:dyDescent="0.2">
      <c r="B23" s="184" t="s">
        <v>472</v>
      </c>
      <c r="C23" s="177" t="s">
        <v>477</v>
      </c>
    </row>
    <row r="24" spans="2:4" ht="14" thickBot="1" x14ac:dyDescent="0.2">
      <c r="B24" s="184" t="s">
        <v>473</v>
      </c>
      <c r="C24" s="176" t="s">
        <v>478</v>
      </c>
    </row>
    <row r="25" spans="2:4" ht="14" thickBot="1" x14ac:dyDescent="0.2">
      <c r="B25" s="185" t="s">
        <v>474</v>
      </c>
      <c r="C25" s="176" t="s">
        <v>479</v>
      </c>
      <c r="D25" s="183"/>
    </row>
    <row r="26" spans="2:4" ht="14" thickBot="1" x14ac:dyDescent="0.2">
      <c r="B26" s="185" t="s">
        <v>475</v>
      </c>
      <c r="C26" s="176" t="s">
        <v>480</v>
      </c>
    </row>
    <row r="27" spans="2:4" ht="14" thickBot="1" x14ac:dyDescent="0.2">
      <c r="B27" s="184" t="s">
        <v>476</v>
      </c>
      <c r="C27" s="176" t="s">
        <v>481</v>
      </c>
    </row>
    <row r="28" spans="2:4" ht="20" x14ac:dyDescent="0.15">
      <c r="B28" s="85"/>
    </row>
    <row r="29" spans="2:4" ht="17" thickBot="1" x14ac:dyDescent="0.2">
      <c r="B29" s="182" t="s">
        <v>482</v>
      </c>
    </row>
    <row r="30" spans="2:4" ht="14" thickBot="1" x14ac:dyDescent="0.2">
      <c r="B30" s="187" t="s">
        <v>483</v>
      </c>
      <c r="C30" s="187" t="s">
        <v>484</v>
      </c>
    </row>
    <row r="31" spans="2:4" ht="14" thickBot="1" x14ac:dyDescent="0.2">
      <c r="B31" s="184" t="s">
        <v>485</v>
      </c>
      <c r="C31" s="184" t="s">
        <v>486</v>
      </c>
    </row>
    <row r="32" spans="2:4" ht="14" thickBot="1" x14ac:dyDescent="0.2">
      <c r="B32" s="184" t="s">
        <v>487</v>
      </c>
      <c r="C32" s="185" t="s">
        <v>488</v>
      </c>
    </row>
    <row r="34" spans="2:3" ht="17" thickBot="1" x14ac:dyDescent="0.2">
      <c r="B34" s="182" t="s">
        <v>489</v>
      </c>
    </row>
    <row r="35" spans="2:3" ht="14" thickBot="1" x14ac:dyDescent="0.2">
      <c r="B35" s="187" t="s">
        <v>390</v>
      </c>
      <c r="C35" s="187" t="s">
        <v>391</v>
      </c>
    </row>
    <row r="36" spans="2:3" ht="14" thickBot="1" x14ac:dyDescent="0.2">
      <c r="B36" s="175" t="s">
        <v>392</v>
      </c>
      <c r="C36" s="186">
        <f>'13_Executive_Summary'!B7</f>
        <v>1397.1490172970744</v>
      </c>
    </row>
    <row r="37" spans="2:3" ht="14" thickBot="1" x14ac:dyDescent="0.2">
      <c r="B37" s="175" t="s">
        <v>393</v>
      </c>
      <c r="C37" s="186">
        <f ca="1">'13_Executive_Summary'!B8</f>
        <v>1344.9807267204728</v>
      </c>
    </row>
    <row r="38" spans="2:3" ht="14" thickBot="1" x14ac:dyDescent="0.2">
      <c r="B38" s="175" t="s">
        <v>722</v>
      </c>
      <c r="C38" s="188">
        <f>'13_Executive_Summary'!B9</f>
        <v>1310</v>
      </c>
    </row>
    <row r="39" spans="2:3" ht="14" thickBot="1" x14ac:dyDescent="0.2">
      <c r="B39" s="175" t="s">
        <v>501</v>
      </c>
      <c r="C39" s="186">
        <f ca="1">'13_Executive_Summary'!B10</f>
        <v>1386.7153591817541</v>
      </c>
    </row>
    <row r="40" spans="2:3" ht="15" thickBot="1" x14ac:dyDescent="0.2">
      <c r="B40" s="189" t="s">
        <v>394</v>
      </c>
      <c r="C40" s="190" t="str">
        <f ca="1">IF((C39/C38-1)&gt;25%,"STRONG BUY",
IF((C39/C38-1)&gt;15%,"BUY",
IF((C39/C38-1)&gt;0%,"HOLD","SELL")))</f>
        <v>HOLD</v>
      </c>
    </row>
    <row r="41" spans="2:3" ht="20" x14ac:dyDescent="0.15">
      <c r="B41" s="8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D7EEC-AC16-1645-ACFD-C5E1146B3E08}">
  <dimension ref="B1:D14"/>
  <sheetViews>
    <sheetView showGridLines="0" zoomScale="158" workbookViewId="0">
      <selection activeCell="B1" sqref="B1"/>
    </sheetView>
  </sheetViews>
  <sheetFormatPr baseColWidth="10" defaultRowHeight="13" x14ac:dyDescent="0.15"/>
  <cols>
    <col min="1" max="1" width="1.83203125" customWidth="1"/>
    <col min="2" max="2" width="20.5" bestFit="1" customWidth="1"/>
    <col min="3" max="3" width="48.33203125" bestFit="1" customWidth="1"/>
    <col min="4" max="4" width="23.5" bestFit="1" customWidth="1"/>
  </cols>
  <sheetData>
    <row r="1" spans="2:4" ht="19" customHeight="1" x14ac:dyDescent="0.15"/>
    <row r="2" spans="2:4" ht="19" customHeight="1" x14ac:dyDescent="0.15">
      <c r="B2" s="275" t="s">
        <v>191</v>
      </c>
      <c r="C2" s="275"/>
      <c r="D2" s="275"/>
    </row>
    <row r="3" spans="2:4" ht="14" thickBot="1" x14ac:dyDescent="0.2"/>
    <row r="4" spans="2:4" ht="14" thickBot="1" x14ac:dyDescent="0.2">
      <c r="B4" s="88" t="s">
        <v>192</v>
      </c>
      <c r="C4" s="87" t="s">
        <v>502</v>
      </c>
    </row>
    <row r="5" spans="2:4" ht="14" thickBot="1" x14ac:dyDescent="0.2">
      <c r="C5" s="18"/>
    </row>
    <row r="6" spans="2:4" ht="14" thickBot="1" x14ac:dyDescent="0.2">
      <c r="B6" s="88" t="s">
        <v>188</v>
      </c>
      <c r="C6" s="194" t="s">
        <v>189</v>
      </c>
    </row>
    <row r="7" spans="2:4" ht="14" thickBot="1" x14ac:dyDescent="0.2">
      <c r="B7" s="88" t="s">
        <v>193</v>
      </c>
      <c r="C7" s="195">
        <f>'07_Forecast_assumptions'!C11/100</f>
        <v>0.05</v>
      </c>
    </row>
    <row r="8" spans="2:4" ht="14" thickBot="1" x14ac:dyDescent="0.2"/>
    <row r="9" spans="2:4" ht="14" thickBot="1" x14ac:dyDescent="0.2">
      <c r="B9" s="88" t="s">
        <v>194</v>
      </c>
    </row>
    <row r="10" spans="2:4" ht="14" thickBot="1" x14ac:dyDescent="0.2">
      <c r="B10" s="86" t="s">
        <v>195</v>
      </c>
      <c r="C10" s="195">
        <v>6.8400000000000002E-2</v>
      </c>
      <c r="D10" s="194" t="s">
        <v>503</v>
      </c>
    </row>
    <row r="11" spans="2:4" ht="14" thickBot="1" x14ac:dyDescent="0.2">
      <c r="B11" s="86" t="s">
        <v>196</v>
      </c>
      <c r="C11" s="195">
        <v>7.4999999999999997E-2</v>
      </c>
      <c r="D11" s="194" t="s">
        <v>201</v>
      </c>
    </row>
    <row r="12" spans="2:4" ht="14" thickBot="1" x14ac:dyDescent="0.2">
      <c r="B12" s="86" t="s">
        <v>197</v>
      </c>
      <c r="C12" s="195">
        <v>0.25169999999999998</v>
      </c>
      <c r="D12" s="194" t="s">
        <v>202</v>
      </c>
    </row>
    <row r="13" spans="2:4" ht="14" thickBot="1" x14ac:dyDescent="0.2">
      <c r="B13" s="86" t="s">
        <v>198</v>
      </c>
      <c r="C13" s="194" t="s">
        <v>200</v>
      </c>
      <c r="D13" s="196"/>
    </row>
    <row r="14" spans="2:4" ht="14" thickBot="1" x14ac:dyDescent="0.2">
      <c r="B14" s="86" t="s">
        <v>199</v>
      </c>
      <c r="C14" s="194" t="s">
        <v>203</v>
      </c>
      <c r="D14" s="196"/>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9F97-24C8-D74E-8702-66162BD9AE39}">
  <dimension ref="A1:H60"/>
  <sheetViews>
    <sheetView showGridLines="0" zoomScale="166" workbookViewId="0"/>
  </sheetViews>
  <sheetFormatPr baseColWidth="10" defaultColWidth="8.83203125" defaultRowHeight="13" x14ac:dyDescent="0.15"/>
  <cols>
    <col min="1" max="1" width="35" style="10" customWidth="1"/>
    <col min="2" max="5" width="18" style="10" customWidth="1"/>
    <col min="6" max="6" width="17.5" style="10" customWidth="1"/>
    <col min="7" max="7" width="8.83203125" style="10"/>
    <col min="8" max="8" width="17.6640625" style="10" customWidth="1"/>
    <col min="9" max="16384" width="8.83203125" style="10"/>
  </cols>
  <sheetData>
    <row r="1" spans="1:8" ht="19" x14ac:dyDescent="0.25">
      <c r="A1" s="9" t="s">
        <v>14</v>
      </c>
    </row>
    <row r="2" spans="1:8" ht="16" x14ac:dyDescent="0.2">
      <c r="A2" s="11" t="s">
        <v>15</v>
      </c>
    </row>
    <row r="3" spans="1:8" ht="14" x14ac:dyDescent="0.2">
      <c r="A3" s="12" t="s">
        <v>61</v>
      </c>
    </row>
    <row r="5" spans="1:8" ht="17" x14ac:dyDescent="0.15">
      <c r="A5" s="15" t="s">
        <v>63</v>
      </c>
      <c r="B5" s="15" t="s">
        <v>17</v>
      </c>
      <c r="C5" s="15" t="s">
        <v>18</v>
      </c>
      <c r="D5" s="15" t="s">
        <v>19</v>
      </c>
      <c r="E5" s="15" t="s">
        <v>20</v>
      </c>
      <c r="F5" s="15" t="s">
        <v>22</v>
      </c>
      <c r="H5" s="58"/>
    </row>
    <row r="6" spans="1:8" x14ac:dyDescent="0.15">
      <c r="A6" s="29" t="s">
        <v>25</v>
      </c>
      <c r="B6" s="22">
        <v>788743</v>
      </c>
      <c r="C6" s="51">
        <v>974864</v>
      </c>
      <c r="D6" s="22">
        <v>1000122</v>
      </c>
      <c r="E6" s="51">
        <v>1071174</v>
      </c>
      <c r="F6" s="50">
        <v>1175919</v>
      </c>
    </row>
    <row r="7" spans="1:8" x14ac:dyDescent="0.15">
      <c r="A7" s="29" t="s">
        <v>48</v>
      </c>
      <c r="B7" s="22">
        <v>699934</v>
      </c>
      <c r="C7" s="22">
        <v>877035</v>
      </c>
      <c r="D7" s="22">
        <v>914472</v>
      </c>
      <c r="E7" s="22">
        <v>980136</v>
      </c>
      <c r="F7" s="22">
        <v>1075675</v>
      </c>
      <c r="H7" s="17"/>
    </row>
    <row r="8" spans="1:8" x14ac:dyDescent="0.15">
      <c r="A8" s="45" t="s">
        <v>64</v>
      </c>
      <c r="B8" s="22">
        <v>14947</v>
      </c>
      <c r="C8" s="47">
        <v>11713</v>
      </c>
      <c r="D8" s="22">
        <v>16057</v>
      </c>
      <c r="E8" s="22">
        <v>17978</v>
      </c>
      <c r="F8" s="22">
        <v>19252</v>
      </c>
    </row>
    <row r="9" spans="1:8" ht="14" thickBot="1" x14ac:dyDescent="0.2">
      <c r="A9" s="52" t="s">
        <v>65</v>
      </c>
      <c r="B9" s="54">
        <v>732578</v>
      </c>
      <c r="C9" s="54">
        <v>903045</v>
      </c>
      <c r="D9" s="54">
        <v>930529</v>
      </c>
      <c r="E9" s="54">
        <v>998114</v>
      </c>
      <c r="F9" s="54">
        <v>1104637</v>
      </c>
    </row>
    <row r="10" spans="1:8" ht="6" customHeight="1" thickTop="1" x14ac:dyDescent="0.15">
      <c r="A10" s="45"/>
      <c r="B10" s="22"/>
      <c r="C10" s="22"/>
      <c r="D10" s="22"/>
      <c r="E10" s="22"/>
      <c r="F10" s="22"/>
    </row>
    <row r="11" spans="1:8" x14ac:dyDescent="0.15">
      <c r="A11" s="45" t="s">
        <v>66</v>
      </c>
      <c r="B11" s="22">
        <v>374210</v>
      </c>
      <c r="C11" s="22">
        <v>491230</v>
      </c>
      <c r="D11" s="22">
        <v>468905</v>
      </c>
      <c r="E11" s="22">
        <v>498220</v>
      </c>
      <c r="F11" s="22">
        <v>542110</v>
      </c>
    </row>
    <row r="12" spans="1:8" x14ac:dyDescent="0.15">
      <c r="A12" s="29" t="s">
        <v>67</v>
      </c>
      <c r="B12" s="22">
        <v>102450</v>
      </c>
      <c r="C12" s="22">
        <v>142105</v>
      </c>
      <c r="D12" s="22">
        <v>175600</v>
      </c>
      <c r="E12" s="22">
        <v>192440</v>
      </c>
      <c r="F12" s="22">
        <v>212305</v>
      </c>
    </row>
    <row r="13" spans="1:8" x14ac:dyDescent="0.15">
      <c r="A13" s="48" t="s">
        <v>68</v>
      </c>
      <c r="B13" s="22">
        <v>18775</v>
      </c>
      <c r="C13" s="22">
        <v>22234</v>
      </c>
      <c r="D13" s="22">
        <v>25690</v>
      </c>
      <c r="E13" s="22">
        <v>28559</v>
      </c>
      <c r="F13" s="22">
        <v>30318</v>
      </c>
    </row>
    <row r="14" spans="1:8" x14ac:dyDescent="0.15">
      <c r="A14" s="29" t="s">
        <v>69</v>
      </c>
      <c r="B14" s="22">
        <v>80815</v>
      </c>
      <c r="C14" s="22">
        <v>67546</v>
      </c>
      <c r="D14" s="22">
        <v>65987</v>
      </c>
      <c r="E14" s="22">
        <v>77495</v>
      </c>
      <c r="F14" s="22">
        <v>82031</v>
      </c>
    </row>
    <row r="15" spans="1:8" ht="5" customHeight="1" x14ac:dyDescent="0.15">
      <c r="A15" s="29"/>
      <c r="B15" s="14"/>
      <c r="C15" s="14"/>
      <c r="D15" s="14"/>
      <c r="E15" s="14"/>
    </row>
    <row r="16" spans="1:8" ht="14" thickBot="1" x14ac:dyDescent="0.2">
      <c r="A16" s="55" t="s">
        <v>49</v>
      </c>
      <c r="B16" s="54">
        <v>123684</v>
      </c>
      <c r="C16" s="56">
        <v>153920</v>
      </c>
      <c r="D16" s="54">
        <v>178290</v>
      </c>
      <c r="E16" s="56">
        <v>183422</v>
      </c>
      <c r="F16" s="54">
        <v>207911</v>
      </c>
      <c r="G16" s="47"/>
    </row>
    <row r="17" spans="1:7" ht="14" thickTop="1" x14ac:dyDescent="0.15">
      <c r="A17" s="29" t="s">
        <v>70</v>
      </c>
      <c r="B17" s="47">
        <v>29782</v>
      </c>
      <c r="C17" s="22">
        <v>40303</v>
      </c>
      <c r="D17" s="47">
        <v>50832</v>
      </c>
      <c r="E17" s="22">
        <v>53136</v>
      </c>
      <c r="F17" s="47">
        <v>57688</v>
      </c>
      <c r="G17" s="47"/>
    </row>
    <row r="18" spans="1:7" ht="5" customHeight="1" x14ac:dyDescent="0.15">
      <c r="A18" s="46"/>
      <c r="B18" s="13"/>
      <c r="C18" s="13"/>
      <c r="D18" s="13"/>
      <c r="E18" s="13"/>
      <c r="F18" s="13"/>
      <c r="G18" s="13"/>
    </row>
    <row r="19" spans="1:7" x14ac:dyDescent="0.15">
      <c r="A19" s="46" t="s">
        <v>71</v>
      </c>
      <c r="B19" s="22">
        <v>14584</v>
      </c>
      <c r="C19" s="47">
        <v>19571</v>
      </c>
      <c r="D19" s="47">
        <v>23118</v>
      </c>
      <c r="E19" s="47">
        <v>24269</v>
      </c>
      <c r="F19" s="22">
        <v>27061</v>
      </c>
      <c r="G19" s="13"/>
    </row>
    <row r="20" spans="1:7" x14ac:dyDescent="0.15">
      <c r="A20" s="29" t="s">
        <v>73</v>
      </c>
      <c r="B20" s="22">
        <v>88437</v>
      </c>
      <c r="C20" s="47">
        <v>105759</v>
      </c>
      <c r="D20" s="47">
        <v>120784</v>
      </c>
      <c r="E20" s="47">
        <v>123995</v>
      </c>
      <c r="F20" s="22">
        <v>142414</v>
      </c>
      <c r="G20" s="13"/>
    </row>
    <row r="21" spans="1:7" ht="11" customHeight="1" x14ac:dyDescent="0.15">
      <c r="A21" s="46" t="s">
        <v>74</v>
      </c>
      <c r="B21" s="22">
        <v>22434</v>
      </c>
      <c r="C21" s="47">
        <v>27170</v>
      </c>
      <c r="D21" s="47">
        <v>25707</v>
      </c>
      <c r="E21" s="47">
        <v>25230</v>
      </c>
      <c r="F21" s="22">
        <v>27552</v>
      </c>
      <c r="G21" s="13"/>
    </row>
    <row r="22" spans="1:7" ht="14" thickBot="1" x14ac:dyDescent="0.2">
      <c r="A22" s="55" t="s">
        <v>75</v>
      </c>
      <c r="B22" s="54">
        <v>71831</v>
      </c>
      <c r="C22" s="56">
        <v>78589</v>
      </c>
      <c r="D22" s="57">
        <v>94690</v>
      </c>
      <c r="E22" s="56">
        <v>98765</v>
      </c>
      <c r="F22" s="54">
        <v>114862</v>
      </c>
      <c r="G22" s="13"/>
    </row>
    <row r="23" spans="1:7" ht="3" customHeight="1" thickTop="1" x14ac:dyDescent="0.15">
      <c r="A23" s="46"/>
      <c r="B23" s="13"/>
      <c r="C23" s="13"/>
      <c r="D23" s="13"/>
      <c r="E23" s="13"/>
      <c r="F23" s="13"/>
      <c r="G23" s="13"/>
    </row>
    <row r="24" spans="1:7" x14ac:dyDescent="0.15">
      <c r="A24" s="29" t="s">
        <v>72</v>
      </c>
      <c r="B24" s="22">
        <v>-215</v>
      </c>
      <c r="C24" s="47">
        <v>-427</v>
      </c>
      <c r="D24" s="47">
        <v>387</v>
      </c>
      <c r="E24" s="47">
        <v>582</v>
      </c>
      <c r="F24" s="22">
        <v>1000</v>
      </c>
      <c r="G24" s="13"/>
    </row>
    <row r="25" spans="1:7" x14ac:dyDescent="0.15">
      <c r="A25" s="29" t="s">
        <v>283</v>
      </c>
      <c r="B25" s="22">
        <v>5432</v>
      </c>
      <c r="C25" s="47">
        <v>4492</v>
      </c>
      <c r="D25" s="47">
        <v>16057</v>
      </c>
      <c r="E25" s="47">
        <v>18038</v>
      </c>
      <c r="F25" s="22">
        <v>20108</v>
      </c>
      <c r="G25" s="13"/>
    </row>
    <row r="26" spans="1:7" x14ac:dyDescent="0.15">
      <c r="A26" s="68" t="s">
        <v>80</v>
      </c>
      <c r="B26" s="69">
        <v>66184</v>
      </c>
      <c r="C26" s="70">
        <v>73670</v>
      </c>
      <c r="D26" s="71">
        <v>79020</v>
      </c>
      <c r="E26" s="70">
        <v>81309</v>
      </c>
      <c r="F26" s="69">
        <v>95754</v>
      </c>
    </row>
    <row r="27" spans="1:7" ht="5" customHeight="1" x14ac:dyDescent="0.15">
      <c r="A27" s="29"/>
      <c r="B27" s="13"/>
      <c r="C27" s="13"/>
      <c r="D27" s="13"/>
      <c r="E27" s="13"/>
      <c r="F27" s="13"/>
      <c r="G27" s="13"/>
    </row>
    <row r="28" spans="1:7" x14ac:dyDescent="0.15">
      <c r="A28" s="29" t="s">
        <v>76</v>
      </c>
      <c r="B28" s="59">
        <v>89.5</v>
      </c>
      <c r="C28" s="60">
        <v>98</v>
      </c>
      <c r="D28" s="60">
        <v>102.9</v>
      </c>
      <c r="E28" s="59">
        <v>51.5</v>
      </c>
      <c r="F28" s="60">
        <v>59.7</v>
      </c>
      <c r="G28" s="13"/>
    </row>
    <row r="29" spans="1:7" x14ac:dyDescent="0.15">
      <c r="A29" s="46" t="s">
        <v>77</v>
      </c>
      <c r="B29" s="59">
        <v>89.5</v>
      </c>
      <c r="C29" s="60">
        <v>98</v>
      </c>
      <c r="D29" s="60">
        <v>102.9</v>
      </c>
      <c r="E29" s="59">
        <v>51.5</v>
      </c>
      <c r="F29" s="60">
        <v>59.7</v>
      </c>
      <c r="G29" s="13"/>
    </row>
    <row r="30" spans="1:7" x14ac:dyDescent="0.15">
      <c r="A30" s="6"/>
      <c r="B30" s="13"/>
      <c r="C30" s="13"/>
      <c r="D30" s="13"/>
      <c r="E30" s="13"/>
      <c r="F30" s="13"/>
      <c r="G30" s="13"/>
    </row>
    <row r="31" spans="1:7" x14ac:dyDescent="0.15">
      <c r="A31" s="44"/>
      <c r="B31" s="13"/>
      <c r="C31" s="13"/>
      <c r="D31" s="13"/>
      <c r="E31" s="13"/>
      <c r="F31" s="13"/>
      <c r="G31" s="13"/>
    </row>
    <row r="32" spans="1:7" x14ac:dyDescent="0.15">
      <c r="A32" s="6"/>
      <c r="B32" s="13"/>
      <c r="C32" s="13"/>
      <c r="D32" s="13"/>
      <c r="E32" s="13"/>
      <c r="F32" s="13"/>
      <c r="G32" s="13"/>
    </row>
    <row r="33" spans="1:7" x14ac:dyDescent="0.15">
      <c r="A33" s="44"/>
      <c r="B33" s="13"/>
      <c r="C33" s="13"/>
      <c r="D33" s="13"/>
      <c r="E33" s="13"/>
      <c r="F33" s="13"/>
      <c r="G33" s="13"/>
    </row>
    <row r="34" spans="1:7" x14ac:dyDescent="0.15">
      <c r="A34" s="13"/>
      <c r="B34" s="13"/>
      <c r="C34" s="13"/>
      <c r="D34" s="13"/>
      <c r="E34" s="13"/>
      <c r="F34" s="13"/>
      <c r="G34" s="13"/>
    </row>
    <row r="35" spans="1:7" x14ac:dyDescent="0.15">
      <c r="A35" s="13"/>
      <c r="B35" s="13"/>
      <c r="C35" s="13"/>
      <c r="D35" s="13"/>
      <c r="E35" s="13"/>
      <c r="F35" s="13"/>
      <c r="G35" s="13"/>
    </row>
    <row r="36" spans="1:7" x14ac:dyDescent="0.15">
      <c r="A36" s="13"/>
      <c r="B36" s="13"/>
      <c r="C36" s="13"/>
      <c r="D36" s="13"/>
      <c r="E36" s="13"/>
      <c r="F36" s="13"/>
      <c r="G36" s="13"/>
    </row>
    <row r="37" spans="1:7" x14ac:dyDescent="0.15">
      <c r="A37" s="13"/>
      <c r="B37" s="13"/>
      <c r="C37" s="13"/>
      <c r="D37" s="13"/>
      <c r="E37" s="13"/>
      <c r="F37" s="13"/>
      <c r="G37" s="13"/>
    </row>
    <row r="38" spans="1:7" x14ac:dyDescent="0.15">
      <c r="A38" s="13"/>
      <c r="B38" s="13"/>
      <c r="C38" s="13"/>
      <c r="D38" s="13"/>
      <c r="E38" s="13"/>
      <c r="F38" s="13"/>
      <c r="G38" s="13"/>
    </row>
    <row r="39" spans="1:7" x14ac:dyDescent="0.15">
      <c r="A39" s="13"/>
      <c r="B39" s="13"/>
      <c r="C39" s="13"/>
      <c r="D39" s="13"/>
      <c r="E39" s="13"/>
      <c r="F39" s="13"/>
      <c r="G39" s="13"/>
    </row>
    <row r="40" spans="1:7" x14ac:dyDescent="0.15">
      <c r="A40" s="13"/>
      <c r="B40" s="13"/>
      <c r="C40" s="13"/>
      <c r="D40" s="13"/>
      <c r="E40" s="13"/>
      <c r="F40" s="13"/>
      <c r="G40" s="13"/>
    </row>
    <row r="41" spans="1:7" x14ac:dyDescent="0.15">
      <c r="A41" s="13"/>
      <c r="B41" s="13"/>
      <c r="C41" s="13"/>
      <c r="D41" s="13"/>
      <c r="E41" s="13"/>
      <c r="F41" s="13"/>
      <c r="G41" s="13"/>
    </row>
    <row r="42" spans="1:7" x14ac:dyDescent="0.15">
      <c r="A42" s="13"/>
      <c r="B42" s="13"/>
      <c r="C42" s="13"/>
      <c r="D42" s="13"/>
      <c r="E42" s="13"/>
      <c r="F42" s="13"/>
      <c r="G42" s="13"/>
    </row>
    <row r="43" spans="1:7" x14ac:dyDescent="0.15">
      <c r="A43" s="13"/>
      <c r="B43" s="13"/>
      <c r="C43" s="13"/>
      <c r="D43" s="13"/>
      <c r="E43" s="13"/>
      <c r="F43" s="13"/>
      <c r="G43" s="13"/>
    </row>
    <row r="44" spans="1:7" x14ac:dyDescent="0.15">
      <c r="A44" s="13"/>
      <c r="B44" s="13"/>
      <c r="C44" s="13"/>
      <c r="D44" s="13"/>
      <c r="E44" s="13"/>
      <c r="F44" s="13"/>
      <c r="G44" s="13"/>
    </row>
    <row r="45" spans="1:7" x14ac:dyDescent="0.15">
      <c r="A45" s="13"/>
      <c r="B45" s="13"/>
      <c r="C45" s="13"/>
      <c r="D45" s="13"/>
      <c r="E45" s="13"/>
      <c r="F45" s="13"/>
      <c r="G45" s="13"/>
    </row>
    <row r="49" spans="1:1" x14ac:dyDescent="0.15">
      <c r="A49" s="4" t="s">
        <v>9</v>
      </c>
    </row>
    <row r="50" spans="1:1" x14ac:dyDescent="0.15">
      <c r="A50" s="3" t="s">
        <v>11</v>
      </c>
    </row>
    <row r="51" spans="1:1" x14ac:dyDescent="0.15">
      <c r="A51" s="3" t="s">
        <v>12</v>
      </c>
    </row>
    <row r="52" spans="1:1" x14ac:dyDescent="0.15">
      <c r="A52" s="3" t="s">
        <v>13</v>
      </c>
    </row>
    <row r="53" spans="1:1" x14ac:dyDescent="0.15">
      <c r="A53" s="3" t="s">
        <v>4</v>
      </c>
    </row>
    <row r="54" spans="1:1" x14ac:dyDescent="0.15">
      <c r="A54" s="3" t="s">
        <v>5</v>
      </c>
    </row>
    <row r="55" spans="1:1" x14ac:dyDescent="0.15">
      <c r="A55" s="3" t="s">
        <v>6</v>
      </c>
    </row>
    <row r="56" spans="1:1" x14ac:dyDescent="0.15">
      <c r="A56" s="3" t="s">
        <v>7</v>
      </c>
    </row>
    <row r="57" spans="1:1" x14ac:dyDescent="0.15">
      <c r="A57" s="3" t="s">
        <v>3</v>
      </c>
    </row>
    <row r="58" spans="1:1" x14ac:dyDescent="0.15">
      <c r="A58" s="3" t="s">
        <v>8</v>
      </c>
    </row>
    <row r="59" spans="1:1" x14ac:dyDescent="0.15">
      <c r="A59" s="3" t="s">
        <v>1</v>
      </c>
    </row>
    <row r="60" spans="1:1" x14ac:dyDescent="0.15">
      <c r="A60" s="3"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FDE71-4BF8-084F-8B18-0A22812210D6}">
  <dimension ref="A1:N33"/>
  <sheetViews>
    <sheetView showGridLines="0" zoomScale="180" workbookViewId="0"/>
  </sheetViews>
  <sheetFormatPr baseColWidth="10" defaultRowHeight="13" x14ac:dyDescent="0.15"/>
  <cols>
    <col min="1" max="1" width="33.33203125" bestFit="1" customWidth="1"/>
    <col min="9" max="9" width="35.83203125" customWidth="1"/>
  </cols>
  <sheetData>
    <row r="1" spans="1:14" ht="19" x14ac:dyDescent="0.25">
      <c r="A1" s="9" t="s">
        <v>14</v>
      </c>
    </row>
    <row r="2" spans="1:14" ht="16" x14ac:dyDescent="0.2">
      <c r="A2" s="11" t="s">
        <v>81</v>
      </c>
    </row>
    <row r="3" spans="1:14" ht="14" x14ac:dyDescent="0.2">
      <c r="A3" s="12" t="s">
        <v>61</v>
      </c>
    </row>
    <row r="5" spans="1:14" ht="17" customHeight="1" x14ac:dyDescent="0.15">
      <c r="A5" s="15" t="s">
        <v>63</v>
      </c>
      <c r="B5" s="15" t="s">
        <v>17</v>
      </c>
      <c r="C5" s="15" t="s">
        <v>18</v>
      </c>
      <c r="D5" s="15" t="s">
        <v>19</v>
      </c>
      <c r="E5" s="15" t="s">
        <v>20</v>
      </c>
      <c r="F5" s="15" t="s">
        <v>22</v>
      </c>
      <c r="I5" s="15" t="s">
        <v>63</v>
      </c>
      <c r="J5" s="15" t="s">
        <v>17</v>
      </c>
      <c r="K5" s="15" t="s">
        <v>18</v>
      </c>
      <c r="L5" s="15" t="s">
        <v>19</v>
      </c>
      <c r="M5" s="15" t="s">
        <v>20</v>
      </c>
      <c r="N5" s="15" t="s">
        <v>22</v>
      </c>
    </row>
    <row r="6" spans="1:14" ht="13" customHeight="1" x14ac:dyDescent="0.15">
      <c r="A6" s="15" t="s">
        <v>82</v>
      </c>
      <c r="B6" s="15"/>
      <c r="C6" s="15"/>
      <c r="D6" s="15"/>
      <c r="E6" s="15"/>
      <c r="F6" s="15"/>
      <c r="I6" s="15" t="s">
        <v>128</v>
      </c>
      <c r="J6" s="15"/>
      <c r="K6" s="15"/>
      <c r="L6" s="15"/>
      <c r="M6" s="15"/>
      <c r="N6" s="15"/>
    </row>
    <row r="7" spans="1:14" x14ac:dyDescent="0.15">
      <c r="A7" s="273" t="s">
        <v>88</v>
      </c>
      <c r="B7" s="273"/>
      <c r="C7" s="273"/>
      <c r="D7" s="273"/>
      <c r="E7" s="273"/>
      <c r="F7" s="273"/>
      <c r="I7" s="273" t="s">
        <v>107</v>
      </c>
      <c r="J7" s="273"/>
      <c r="K7" s="273"/>
      <c r="L7" s="273"/>
      <c r="M7" s="273"/>
      <c r="N7" s="273"/>
    </row>
    <row r="8" spans="1:14" x14ac:dyDescent="0.15">
      <c r="A8" s="18" t="s">
        <v>89</v>
      </c>
      <c r="B8" s="24">
        <v>532042</v>
      </c>
      <c r="C8" s="24">
        <v>570503</v>
      </c>
      <c r="D8" s="24">
        <v>606084</v>
      </c>
      <c r="E8" s="24">
        <v>683102</v>
      </c>
      <c r="F8" s="24">
        <v>751087</v>
      </c>
      <c r="I8" s="18" t="s">
        <v>108</v>
      </c>
      <c r="J8" s="24">
        <v>6765</v>
      </c>
      <c r="K8" s="24">
        <v>6766</v>
      </c>
      <c r="L8" s="24">
        <v>6766</v>
      </c>
      <c r="M8" s="24">
        <v>13532</v>
      </c>
      <c r="N8" s="24">
        <v>13532</v>
      </c>
    </row>
    <row r="9" spans="1:14" x14ac:dyDescent="0.15">
      <c r="A9" s="18" t="s">
        <v>90</v>
      </c>
      <c r="B9" s="24">
        <v>165410</v>
      </c>
      <c r="C9" s="24">
        <v>117259</v>
      </c>
      <c r="D9" s="24">
        <v>152382</v>
      </c>
      <c r="E9" s="24">
        <v>169710</v>
      </c>
      <c r="F9" s="24">
        <v>192287</v>
      </c>
      <c r="I9" s="18" t="s">
        <v>109</v>
      </c>
      <c r="J9" s="24">
        <v>638362</v>
      </c>
      <c r="K9" s="24">
        <v>662114</v>
      </c>
      <c r="L9" s="24">
        <v>781537</v>
      </c>
      <c r="M9" s="24">
        <v>829668</v>
      </c>
      <c r="N9" s="24">
        <v>890498</v>
      </c>
    </row>
    <row r="10" spans="1:14" ht="13" customHeight="1" x14ac:dyDescent="0.15">
      <c r="A10" s="18" t="s">
        <v>91</v>
      </c>
      <c r="B10" s="24">
        <v>122313</v>
      </c>
      <c r="C10" s="24">
        <v>197708</v>
      </c>
      <c r="D10" s="24">
        <v>199454</v>
      </c>
      <c r="E10" s="24">
        <v>201298</v>
      </c>
      <c r="F10" s="24">
        <v>196731</v>
      </c>
      <c r="I10" s="18" t="s">
        <v>110</v>
      </c>
      <c r="J10" s="24">
        <v>109110</v>
      </c>
      <c r="K10" s="24">
        <v>119104</v>
      </c>
      <c r="L10" s="24">
        <v>132307</v>
      </c>
      <c r="M10" s="24">
        <v>166426</v>
      </c>
      <c r="N10" s="24">
        <v>181836</v>
      </c>
    </row>
    <row r="11" spans="1:14" ht="14" thickBot="1" x14ac:dyDescent="0.2">
      <c r="A11" s="18" t="s">
        <v>92</v>
      </c>
      <c r="B11" s="24">
        <v>89421</v>
      </c>
      <c r="C11" s="24">
        <v>133087</v>
      </c>
      <c r="D11" s="24">
        <v>160920</v>
      </c>
      <c r="E11" s="24">
        <v>207641</v>
      </c>
      <c r="F11" s="24">
        <v>222376</v>
      </c>
      <c r="I11" s="63" t="s">
        <v>111</v>
      </c>
      <c r="J11" s="54">
        <v>754237</v>
      </c>
      <c r="K11" s="54">
        <v>787984</v>
      </c>
      <c r="L11" s="54">
        <v>920610</v>
      </c>
      <c r="M11" s="54">
        <v>1009626</v>
      </c>
      <c r="N11" s="54">
        <v>1085866</v>
      </c>
    </row>
    <row r="12" spans="1:14" ht="14" thickTop="1" x14ac:dyDescent="0.15">
      <c r="A12" s="18" t="s">
        <v>93</v>
      </c>
      <c r="B12" s="24">
        <v>110432</v>
      </c>
      <c r="C12" s="24">
        <v>117087</v>
      </c>
      <c r="D12" s="24">
        <v>119502</v>
      </c>
      <c r="E12" s="24">
        <v>123672</v>
      </c>
      <c r="F12" s="24">
        <v>150901</v>
      </c>
    </row>
    <row r="13" spans="1:14" x14ac:dyDescent="0.15">
      <c r="A13" s="18" t="s">
        <v>94</v>
      </c>
      <c r="B13" s="24">
        <v>3926</v>
      </c>
      <c r="C13" s="24">
        <v>4048</v>
      </c>
      <c r="D13" s="24">
        <v>3521</v>
      </c>
      <c r="E13" s="24">
        <v>6830</v>
      </c>
      <c r="F13" s="24">
        <v>5725</v>
      </c>
      <c r="I13" s="273" t="s">
        <v>112</v>
      </c>
      <c r="J13" s="273"/>
      <c r="K13" s="273"/>
      <c r="L13" s="273"/>
      <c r="M13" s="273"/>
      <c r="N13" s="273"/>
    </row>
    <row r="14" spans="1:14" x14ac:dyDescent="0.15">
      <c r="A14" s="18" t="s">
        <v>95</v>
      </c>
      <c r="B14" s="24">
        <v>1215</v>
      </c>
      <c r="C14" s="24">
        <v>1549</v>
      </c>
      <c r="D14" s="24">
        <v>938</v>
      </c>
      <c r="E14" s="24">
        <v>408</v>
      </c>
      <c r="F14" s="24">
        <v>594</v>
      </c>
      <c r="I14" s="18" t="s">
        <v>113</v>
      </c>
      <c r="J14" s="24">
        <v>180410</v>
      </c>
      <c r="K14" s="24">
        <v>224195</v>
      </c>
      <c r="L14" s="24">
        <v>224195</v>
      </c>
      <c r="M14" s="24">
        <v>236899</v>
      </c>
      <c r="N14" s="24">
        <v>270751</v>
      </c>
    </row>
    <row r="15" spans="1:14" x14ac:dyDescent="0.15">
      <c r="A15" s="18" t="s">
        <v>96</v>
      </c>
      <c r="B15" s="24">
        <v>35420</v>
      </c>
      <c r="C15" s="24">
        <v>40894</v>
      </c>
      <c r="D15" s="24">
        <v>43085</v>
      </c>
      <c r="E15" s="24">
        <v>58190</v>
      </c>
      <c r="F15" s="24">
        <v>64190</v>
      </c>
      <c r="I15" s="18" t="s">
        <v>114</v>
      </c>
      <c r="J15" s="24">
        <v>14205</v>
      </c>
      <c r="K15" s="24">
        <v>14584</v>
      </c>
      <c r="L15" s="24">
        <v>16057</v>
      </c>
      <c r="M15" s="24">
        <v>17142</v>
      </c>
      <c r="N15" s="24">
        <v>16198</v>
      </c>
    </row>
    <row r="16" spans="1:14" ht="16" customHeight="1" thickBot="1" x14ac:dyDescent="0.2">
      <c r="A16" s="63" t="s">
        <v>97</v>
      </c>
      <c r="B16" s="54">
        <v>960179</v>
      </c>
      <c r="C16" s="54">
        <v>1182135</v>
      </c>
      <c r="D16" s="54">
        <v>1285886</v>
      </c>
      <c r="E16" s="54">
        <v>1450851</v>
      </c>
      <c r="F16" s="54">
        <v>1583891</v>
      </c>
      <c r="I16" s="18" t="s">
        <v>115</v>
      </c>
      <c r="J16" s="24">
        <v>78590</v>
      </c>
      <c r="K16" s="24">
        <v>80815</v>
      </c>
      <c r="L16" s="24">
        <v>91400</v>
      </c>
      <c r="M16" s="24">
        <v>104410</v>
      </c>
      <c r="N16" s="24">
        <v>99552</v>
      </c>
    </row>
    <row r="17" spans="1:14" ht="14" thickTop="1" x14ac:dyDescent="0.15">
      <c r="I17" s="18" t="s">
        <v>116</v>
      </c>
      <c r="J17" s="24">
        <v>48200</v>
      </c>
      <c r="K17" s="24">
        <v>49000</v>
      </c>
      <c r="L17" s="24">
        <v>50832</v>
      </c>
      <c r="M17" s="24">
        <v>83453</v>
      </c>
      <c r="N17" s="24">
        <v>97961</v>
      </c>
    </row>
    <row r="18" spans="1:14" x14ac:dyDescent="0.15">
      <c r="A18" s="273" t="s">
        <v>98</v>
      </c>
      <c r="B18" s="273"/>
      <c r="C18" s="273"/>
      <c r="D18" s="273"/>
      <c r="E18" s="273"/>
      <c r="F18" s="273"/>
      <c r="I18" s="18" t="s">
        <v>117</v>
      </c>
      <c r="J18" s="24">
        <v>28733</v>
      </c>
      <c r="K18" s="24">
        <v>30403</v>
      </c>
      <c r="L18" s="24">
        <v>29173</v>
      </c>
      <c r="M18" s="24">
        <v>44854</v>
      </c>
      <c r="N18" s="24">
        <v>66558</v>
      </c>
    </row>
    <row r="19" spans="1:14" ht="14" thickBot="1" x14ac:dyDescent="0.2">
      <c r="A19" s="18" t="s">
        <v>99</v>
      </c>
      <c r="B19" s="24">
        <v>107741</v>
      </c>
      <c r="C19" s="24">
        <v>141114</v>
      </c>
      <c r="D19" s="24">
        <v>144271</v>
      </c>
      <c r="E19" s="24">
        <v>146062</v>
      </c>
      <c r="F19" s="24">
        <v>166941</v>
      </c>
      <c r="I19" s="63" t="s">
        <v>118</v>
      </c>
      <c r="J19" s="54">
        <v>350138</v>
      </c>
      <c r="K19" s="54">
        <v>398997</v>
      </c>
      <c r="L19" s="54">
        <v>421657</v>
      </c>
      <c r="M19" s="54">
        <v>486758</v>
      </c>
      <c r="N19" s="54">
        <v>551020</v>
      </c>
    </row>
    <row r="20" spans="1:14" ht="14" thickTop="1" x14ac:dyDescent="0.15">
      <c r="A20" s="18" t="s">
        <v>100</v>
      </c>
      <c r="B20" s="24">
        <v>141107</v>
      </c>
      <c r="C20" s="24">
        <v>112390</v>
      </c>
      <c r="D20" s="24">
        <v>118709</v>
      </c>
      <c r="E20" s="24">
        <v>118709</v>
      </c>
      <c r="F20" s="24">
        <v>97431</v>
      </c>
    </row>
    <row r="21" spans="1:14" x14ac:dyDescent="0.15">
      <c r="A21" s="18" t="s">
        <v>101</v>
      </c>
      <c r="B21" s="24">
        <v>18775</v>
      </c>
      <c r="C21" s="24">
        <v>19811</v>
      </c>
      <c r="D21" s="24">
        <v>21410</v>
      </c>
      <c r="E21" s="24">
        <v>42121</v>
      </c>
      <c r="F21" s="24">
        <v>58491</v>
      </c>
      <c r="I21" s="273" t="s">
        <v>119</v>
      </c>
      <c r="J21" s="273"/>
      <c r="K21" s="273"/>
      <c r="L21" s="273"/>
      <c r="M21" s="273"/>
      <c r="N21" s="273"/>
    </row>
    <row r="22" spans="1:14" x14ac:dyDescent="0.15">
      <c r="A22" s="18" t="s">
        <v>102</v>
      </c>
      <c r="B22" s="24">
        <v>36178</v>
      </c>
      <c r="C22" s="24">
        <v>6851</v>
      </c>
      <c r="D22" s="24">
        <v>10211</v>
      </c>
      <c r="E22" s="24">
        <v>106502</v>
      </c>
      <c r="F22" s="24">
        <v>145977</v>
      </c>
      <c r="I22" s="18" t="s">
        <v>120</v>
      </c>
      <c r="J22" s="24">
        <v>44213</v>
      </c>
      <c r="K22" s="24">
        <v>48200</v>
      </c>
      <c r="L22" s="24">
        <v>103670</v>
      </c>
      <c r="M22" s="24">
        <v>110631</v>
      </c>
      <c r="N22" s="24">
        <v>103670</v>
      </c>
    </row>
    <row r="23" spans="1:14" x14ac:dyDescent="0.15">
      <c r="A23" s="18" t="s">
        <v>103</v>
      </c>
      <c r="B23" s="24">
        <v>23715</v>
      </c>
      <c r="C23" s="24">
        <v>22542</v>
      </c>
      <c r="D23" s="24">
        <v>29560</v>
      </c>
      <c r="E23" s="24">
        <v>28728</v>
      </c>
      <c r="F23" s="24">
        <v>62796</v>
      </c>
      <c r="I23" s="18" t="s">
        <v>121</v>
      </c>
      <c r="J23" s="24">
        <v>4114</v>
      </c>
      <c r="K23" s="24">
        <v>4147</v>
      </c>
      <c r="L23" s="24">
        <v>4903</v>
      </c>
      <c r="M23" s="24">
        <v>4903</v>
      </c>
      <c r="N23" s="24">
        <v>7381</v>
      </c>
    </row>
    <row r="24" spans="1:14" x14ac:dyDescent="0.15">
      <c r="A24" s="18" t="s">
        <v>104</v>
      </c>
      <c r="B24" s="24">
        <v>27249</v>
      </c>
      <c r="C24" s="24">
        <v>31500</v>
      </c>
      <c r="D24" s="24">
        <v>36000</v>
      </c>
      <c r="E24" s="24">
        <v>57148</v>
      </c>
      <c r="F24" s="24">
        <v>62613</v>
      </c>
      <c r="I24" s="18" t="s">
        <v>122</v>
      </c>
      <c r="J24" s="24">
        <v>102450</v>
      </c>
      <c r="K24" s="24">
        <v>142105</v>
      </c>
      <c r="L24" s="24">
        <v>132912</v>
      </c>
      <c r="M24" s="24">
        <v>186789</v>
      </c>
      <c r="N24" s="24">
        <v>158842</v>
      </c>
    </row>
    <row r="25" spans="1:14" ht="14" thickBot="1" x14ac:dyDescent="0.2">
      <c r="A25" s="63" t="s">
        <v>105</v>
      </c>
      <c r="B25" s="54">
        <v>354765</v>
      </c>
      <c r="C25" s="54">
        <v>334208</v>
      </c>
      <c r="D25" s="54">
        <v>360161</v>
      </c>
      <c r="E25" s="54">
        <v>499270</v>
      </c>
      <c r="F25" s="54">
        <v>594249</v>
      </c>
      <c r="I25" s="18" t="s">
        <v>123</v>
      </c>
      <c r="J25" s="24">
        <v>22434</v>
      </c>
      <c r="K25" s="24">
        <v>27170</v>
      </c>
      <c r="L25" s="24">
        <v>25690</v>
      </c>
      <c r="M25" s="24">
        <v>57143</v>
      </c>
      <c r="N25" s="24">
        <v>64660</v>
      </c>
    </row>
    <row r="26" spans="1:14" ht="14" customHeight="1" thickTop="1" x14ac:dyDescent="0.15">
      <c r="A26" s="18"/>
      <c r="I26" s="18" t="s">
        <v>124</v>
      </c>
      <c r="J26" s="24">
        <v>32856</v>
      </c>
      <c r="K26" s="24">
        <v>103670</v>
      </c>
      <c r="L26" s="24">
        <v>31500</v>
      </c>
      <c r="M26" s="24">
        <v>90124</v>
      </c>
      <c r="N26" s="24">
        <v>201503</v>
      </c>
    </row>
    <row r="27" spans="1:14" ht="14" thickBot="1" x14ac:dyDescent="0.2">
      <c r="A27" s="64" t="s">
        <v>106</v>
      </c>
      <c r="B27" s="65">
        <f>SUM(B16+B25)</f>
        <v>1314944</v>
      </c>
      <c r="C27" s="65">
        <f>SUM(C16+C25)</f>
        <v>1516343</v>
      </c>
      <c r="D27" s="65">
        <f>SUM(D16+D25)</f>
        <v>1646047</v>
      </c>
      <c r="E27" s="65">
        <f>SUM(E16+E25)</f>
        <v>1950121</v>
      </c>
      <c r="F27" s="65">
        <f>SUM(F16+F25)</f>
        <v>2178140</v>
      </c>
      <c r="I27" s="18" t="s">
        <v>125</v>
      </c>
      <c r="J27" s="24">
        <v>4502</v>
      </c>
      <c r="K27" s="24">
        <v>4070</v>
      </c>
      <c r="L27" s="24">
        <v>5105</v>
      </c>
      <c r="M27" s="24">
        <v>4147</v>
      </c>
      <c r="N27" s="24">
        <v>5198</v>
      </c>
    </row>
    <row r="28" spans="1:14" ht="15" thickTop="1" thickBot="1" x14ac:dyDescent="0.2">
      <c r="A28" s="18"/>
      <c r="I28" s="63" t="s">
        <v>126</v>
      </c>
      <c r="J28" s="54">
        <v>210569</v>
      </c>
      <c r="K28" s="54">
        <v>329362</v>
      </c>
      <c r="L28" s="54">
        <v>303780</v>
      </c>
      <c r="M28" s="54">
        <v>453737</v>
      </c>
      <c r="N28" s="54">
        <v>541254</v>
      </c>
    </row>
    <row r="29" spans="1:14" ht="14" thickTop="1" x14ac:dyDescent="0.15"/>
    <row r="30" spans="1:14" ht="14" thickBot="1" x14ac:dyDescent="0.2">
      <c r="I30" s="64" t="s">
        <v>127</v>
      </c>
      <c r="J30" s="65">
        <v>560707</v>
      </c>
      <c r="K30" s="65">
        <v>728359</v>
      </c>
      <c r="L30" s="65">
        <v>725437</v>
      </c>
      <c r="M30" s="65">
        <v>940495</v>
      </c>
      <c r="N30" s="65">
        <v>1092274</v>
      </c>
    </row>
    <row r="31" spans="1:14" ht="14" thickTop="1" x14ac:dyDescent="0.15"/>
    <row r="32" spans="1:14" ht="14" thickBot="1" x14ac:dyDescent="0.2">
      <c r="I32" s="64" t="s">
        <v>129</v>
      </c>
      <c r="J32" s="65">
        <v>1314944</v>
      </c>
      <c r="K32" s="65">
        <v>1516343</v>
      </c>
      <c r="L32" s="65">
        <v>1646047</v>
      </c>
      <c r="M32" s="65">
        <v>1950121</v>
      </c>
      <c r="N32" s="65">
        <v>2178140</v>
      </c>
    </row>
    <row r="33" ht="14" thickTop="1" x14ac:dyDescent="0.15"/>
  </sheetData>
  <mergeCells count="5">
    <mergeCell ref="A7:F7"/>
    <mergeCell ref="A18:F18"/>
    <mergeCell ref="I7:N7"/>
    <mergeCell ref="I13:N13"/>
    <mergeCell ref="I21:N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4015-C7C3-F948-AB5A-C1131A7F9597}">
  <dimension ref="A1:F21"/>
  <sheetViews>
    <sheetView showGridLines="0" zoomScale="164" workbookViewId="0"/>
  </sheetViews>
  <sheetFormatPr baseColWidth="10" defaultRowHeight="13" x14ac:dyDescent="0.15"/>
  <cols>
    <col min="1" max="1" width="41" bestFit="1" customWidth="1"/>
  </cols>
  <sheetData>
    <row r="1" spans="1:6" ht="19" x14ac:dyDescent="0.25">
      <c r="A1" s="9" t="s">
        <v>14</v>
      </c>
    </row>
    <row r="2" spans="1:6" ht="16" x14ac:dyDescent="0.2">
      <c r="A2" s="11" t="s">
        <v>130</v>
      </c>
    </row>
    <row r="3" spans="1:6" ht="14" x14ac:dyDescent="0.2">
      <c r="A3" s="12" t="s">
        <v>61</v>
      </c>
    </row>
    <row r="5" spans="1:6" ht="12" customHeight="1" x14ac:dyDescent="0.15">
      <c r="A5" s="15" t="s">
        <v>131</v>
      </c>
      <c r="B5" s="15" t="s">
        <v>17</v>
      </c>
      <c r="C5" s="15" t="s">
        <v>18</v>
      </c>
      <c r="D5" s="15" t="s">
        <v>19</v>
      </c>
      <c r="E5" s="15" t="s">
        <v>20</v>
      </c>
      <c r="F5" s="15" t="s">
        <v>22</v>
      </c>
    </row>
    <row r="6" spans="1:6" ht="12" customHeight="1" thickBot="1" x14ac:dyDescent="0.2">
      <c r="A6" s="63" t="s">
        <v>135</v>
      </c>
      <c r="B6" s="73">
        <v>110654</v>
      </c>
      <c r="C6" s="73">
        <v>115020</v>
      </c>
      <c r="D6" s="73">
        <v>158788</v>
      </c>
      <c r="E6" s="73">
        <v>178703</v>
      </c>
      <c r="F6" s="73">
        <v>192113</v>
      </c>
    </row>
    <row r="7" spans="1:6" ht="4" customHeight="1" thickTop="1" x14ac:dyDescent="0.15">
      <c r="A7" s="72"/>
      <c r="B7" s="77"/>
      <c r="C7" s="77"/>
      <c r="D7" s="77"/>
      <c r="E7" s="77"/>
      <c r="F7" s="77"/>
    </row>
    <row r="8" spans="1:6" ht="26" x14ac:dyDescent="0.15">
      <c r="A8" s="78" t="s">
        <v>141</v>
      </c>
      <c r="B8" s="24">
        <v>-109162</v>
      </c>
      <c r="C8" s="24">
        <v>-93001</v>
      </c>
      <c r="D8" s="24">
        <v>-152883</v>
      </c>
      <c r="E8" s="24">
        <v>-139967</v>
      </c>
      <c r="F8" s="24">
        <v>-122916</v>
      </c>
    </row>
    <row r="9" spans="1:6" ht="12" customHeight="1" x14ac:dyDescent="0.15">
      <c r="A9" s="78" t="s">
        <v>143</v>
      </c>
      <c r="B9" s="33">
        <f>B8-B10</f>
        <v>941</v>
      </c>
      <c r="C9" s="33">
        <f t="shared" ref="C9:E9" si="0">C8-C10</f>
        <v>-1766</v>
      </c>
      <c r="D9" s="33">
        <f t="shared" si="0"/>
        <v>-38582</v>
      </c>
      <c r="E9" s="33">
        <f t="shared" si="0"/>
        <v>-2432</v>
      </c>
      <c r="F9" s="33">
        <f>F8-F10</f>
        <v>-21827</v>
      </c>
    </row>
    <row r="10" spans="1:6" ht="14" thickBot="1" x14ac:dyDescent="0.2">
      <c r="A10" s="63" t="s">
        <v>142</v>
      </c>
      <c r="B10" s="73">
        <f>-110103</f>
        <v>-110103</v>
      </c>
      <c r="C10" s="73">
        <v>-91235</v>
      </c>
      <c r="D10" s="73">
        <v>-114301</v>
      </c>
      <c r="E10" s="73">
        <v>-137535</v>
      </c>
      <c r="F10" s="73">
        <v>-101089</v>
      </c>
    </row>
    <row r="11" spans="1:6" ht="6" customHeight="1" thickTop="1" x14ac:dyDescent="0.15"/>
    <row r="12" spans="1:6" x14ac:dyDescent="0.15">
      <c r="A12" s="18" t="s">
        <v>132</v>
      </c>
      <c r="B12" s="24">
        <v>22372</v>
      </c>
      <c r="C12" s="24">
        <v>16544</v>
      </c>
      <c r="D12" s="24">
        <v>-9880</v>
      </c>
      <c r="E12" s="24">
        <v>-24448</v>
      </c>
      <c r="F12" s="24">
        <v>-44106</v>
      </c>
    </row>
    <row r="13" spans="1:6" x14ac:dyDescent="0.15">
      <c r="A13" s="18" t="s">
        <v>133</v>
      </c>
      <c r="B13" s="24">
        <v>-5083</v>
      </c>
      <c r="C13" s="24">
        <v>-6089</v>
      </c>
      <c r="D13" s="24">
        <v>-6766</v>
      </c>
      <c r="E13" s="24">
        <v>-7443</v>
      </c>
      <c r="F13" s="24">
        <v>-7443</v>
      </c>
    </row>
    <row r="14" spans="1:6" ht="5" customHeight="1" x14ac:dyDescent="0.15">
      <c r="A14" s="18"/>
    </row>
    <row r="15" spans="1:6" ht="14" thickBot="1" x14ac:dyDescent="0.2">
      <c r="A15" s="63" t="s">
        <v>136</v>
      </c>
      <c r="B15" s="73">
        <f>SUM(B12:B13)</f>
        <v>17289</v>
      </c>
      <c r="C15" s="73">
        <f t="shared" ref="C15:F15" si="1">SUM(C12:C13)</f>
        <v>10455</v>
      </c>
      <c r="D15" s="73">
        <f t="shared" si="1"/>
        <v>-16646</v>
      </c>
      <c r="E15" s="73">
        <f t="shared" si="1"/>
        <v>-31891</v>
      </c>
      <c r="F15" s="73">
        <f t="shared" si="1"/>
        <v>-51549</v>
      </c>
    </row>
    <row r="16" spans="1:6" ht="6" customHeight="1" thickTop="1" x14ac:dyDescent="0.15"/>
    <row r="17" spans="1:6" x14ac:dyDescent="0.15">
      <c r="A17" s="18" t="s">
        <v>134</v>
      </c>
      <c r="B17" s="24">
        <f>SUM(B6,B10,B15)</f>
        <v>17840</v>
      </c>
      <c r="C17" s="24">
        <f>SUM(C6,C10,C15)</f>
        <v>34240</v>
      </c>
      <c r="D17" s="24">
        <f>SUM(D6,D10,D15)</f>
        <v>27841</v>
      </c>
      <c r="E17" s="24">
        <f>SUM(E6,E10,E15)</f>
        <v>9277</v>
      </c>
      <c r="F17" s="24">
        <f>SUM(F6,F10,F15)</f>
        <v>39475</v>
      </c>
    </row>
    <row r="18" spans="1:6" x14ac:dyDescent="0.15">
      <c r="A18" s="18" t="s">
        <v>138</v>
      </c>
      <c r="B18" s="24">
        <v>18338</v>
      </c>
      <c r="C18" s="24">
        <v>34412</v>
      </c>
      <c r="D18" s="24">
        <v>69384</v>
      </c>
      <c r="E18" s="24">
        <v>97225</v>
      </c>
      <c r="F18" s="24">
        <v>106502</v>
      </c>
    </row>
    <row r="19" spans="1:6" x14ac:dyDescent="0.15">
      <c r="A19" s="18"/>
      <c r="B19" s="8"/>
      <c r="D19" s="8"/>
      <c r="F19" s="8"/>
    </row>
    <row r="20" spans="1:6" x14ac:dyDescent="0.15">
      <c r="A20" s="75" t="s">
        <v>140</v>
      </c>
      <c r="B20" s="76">
        <f>SUM(B17:B18)</f>
        <v>36178</v>
      </c>
      <c r="C20" s="76">
        <f t="shared" ref="C20:F20" si="2">SUM(C17:C18)</f>
        <v>68652</v>
      </c>
      <c r="D20" s="76">
        <f>SUM(D17:D18)</f>
        <v>97225</v>
      </c>
      <c r="E20" s="76">
        <f t="shared" si="2"/>
        <v>106502</v>
      </c>
      <c r="F20" s="76">
        <f t="shared" si="2"/>
        <v>145977</v>
      </c>
    </row>
    <row r="21" spans="1:6" x14ac:dyDescent="0.15">
      <c r="B21" s="7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AB88-86AA-1141-B032-E2674814B3F3}">
  <dimension ref="A1:M56"/>
  <sheetViews>
    <sheetView showGridLines="0" zoomScale="165" workbookViewId="0">
      <selection activeCell="A3" sqref="A3"/>
    </sheetView>
  </sheetViews>
  <sheetFormatPr baseColWidth="10" defaultRowHeight="13" x14ac:dyDescent="0.15"/>
  <cols>
    <col min="1" max="1" width="40.1640625" bestFit="1" customWidth="1"/>
    <col min="2" max="6" width="10.6640625" bestFit="1" customWidth="1"/>
  </cols>
  <sheetData>
    <row r="1" spans="1:13" ht="19" x14ac:dyDescent="0.25">
      <c r="A1" s="9" t="s">
        <v>14</v>
      </c>
    </row>
    <row r="2" spans="1:13" ht="16" x14ac:dyDescent="0.2">
      <c r="A2" s="11" t="s">
        <v>24</v>
      </c>
    </row>
    <row r="3" spans="1:13" ht="14" x14ac:dyDescent="0.2">
      <c r="A3" s="12" t="s">
        <v>61</v>
      </c>
    </row>
    <row r="5" spans="1:13" ht="17" x14ac:dyDescent="0.15">
      <c r="A5" s="15" t="s">
        <v>16</v>
      </c>
      <c r="B5" s="15" t="s">
        <v>17</v>
      </c>
      <c r="C5" s="15" t="s">
        <v>18</v>
      </c>
      <c r="D5" s="15" t="s">
        <v>19</v>
      </c>
      <c r="E5" s="15" t="s">
        <v>20</v>
      </c>
      <c r="F5" s="15" t="s">
        <v>22</v>
      </c>
    </row>
    <row r="6" spans="1:13" ht="17" x14ac:dyDescent="0.15">
      <c r="A6" s="15" t="s">
        <v>47</v>
      </c>
      <c r="B6" s="15"/>
      <c r="C6" s="15"/>
      <c r="D6" s="15"/>
      <c r="E6" s="15"/>
      <c r="F6" s="15"/>
    </row>
    <row r="7" spans="1:13" x14ac:dyDescent="0.15">
      <c r="A7" s="18" t="s">
        <v>25</v>
      </c>
      <c r="B7" s="24">
        <v>584298</v>
      </c>
      <c r="C7" s="24">
        <v>631425</v>
      </c>
      <c r="D7" s="24">
        <v>564749</v>
      </c>
      <c r="E7" s="24">
        <v>626921</v>
      </c>
      <c r="F7" s="24">
        <v>662401</v>
      </c>
    </row>
    <row r="8" spans="1:13" x14ac:dyDescent="0.15">
      <c r="A8" s="18" t="s">
        <v>229</v>
      </c>
      <c r="B8" s="24" t="s">
        <v>146</v>
      </c>
      <c r="C8" s="91">
        <f>C7/B7-1</f>
        <v>8.0655761272501403E-2</v>
      </c>
      <c r="D8" s="91">
        <f t="shared" ref="D8:F8" si="0">D7/C7-1</f>
        <v>-0.10559607237597501</v>
      </c>
      <c r="E8" s="91">
        <f t="shared" si="0"/>
        <v>0.11008784433438579</v>
      </c>
      <c r="F8" s="91">
        <f t="shared" si="0"/>
        <v>5.6594052520174021E-2</v>
      </c>
    </row>
    <row r="9" spans="1:13" x14ac:dyDescent="0.15">
      <c r="A9" s="18" t="s">
        <v>26</v>
      </c>
      <c r="B9" s="24">
        <v>76701</v>
      </c>
      <c r="C9" s="24">
        <v>62128</v>
      </c>
      <c r="D9" s="24">
        <v>62389</v>
      </c>
      <c r="E9" s="24">
        <v>54988</v>
      </c>
      <c r="F9" s="24">
        <v>60546</v>
      </c>
    </row>
    <row r="10" spans="1:13" x14ac:dyDescent="0.15">
      <c r="A10" s="18" t="s">
        <v>27</v>
      </c>
      <c r="B10" s="25">
        <f>B9/B7</f>
        <v>0.13127034492673259</v>
      </c>
      <c r="C10" s="25">
        <f t="shared" ref="C10:F10" si="1">C9/C7</f>
        <v>9.8393316704280004E-2</v>
      </c>
      <c r="D10" s="25">
        <f t="shared" si="1"/>
        <v>0.11047208582927991</v>
      </c>
      <c r="E10" s="25">
        <f t="shared" si="1"/>
        <v>8.7711210822416216E-2</v>
      </c>
      <c r="F10" s="25">
        <f t="shared" si="1"/>
        <v>9.140384751834614E-2</v>
      </c>
    </row>
    <row r="11" spans="1:13" x14ac:dyDescent="0.15">
      <c r="A11" s="18" t="s">
        <v>33</v>
      </c>
      <c r="B11" s="24">
        <v>63705</v>
      </c>
      <c r="C11" s="24">
        <v>52620</v>
      </c>
      <c r="D11" s="24">
        <v>53613</v>
      </c>
      <c r="E11" s="24">
        <v>47257</v>
      </c>
      <c r="F11" s="24">
        <v>50758</v>
      </c>
    </row>
    <row r="12" spans="1:13" x14ac:dyDescent="0.15">
      <c r="A12" s="18" t="s">
        <v>28</v>
      </c>
      <c r="B12" s="26">
        <f>B11/B7</f>
        <v>0.10902826982122137</v>
      </c>
      <c r="C12" s="26">
        <f>C11/C7</f>
        <v>8.3335312982539489E-2</v>
      </c>
      <c r="D12" s="26">
        <f t="shared" ref="D12:F12" si="2">D11/D7</f>
        <v>9.4932439012729547E-2</v>
      </c>
      <c r="E12" s="26">
        <f t="shared" si="2"/>
        <v>7.5379513527222733E-2</v>
      </c>
      <c r="F12" s="26">
        <f t="shared" si="2"/>
        <v>7.6627299777627153E-2</v>
      </c>
    </row>
    <row r="13" spans="1:13" x14ac:dyDescent="0.15">
      <c r="A13" s="18" t="s">
        <v>56</v>
      </c>
      <c r="B13" s="24">
        <v>20732</v>
      </c>
      <c r="C13" s="24">
        <v>19511</v>
      </c>
      <c r="D13" s="24">
        <v>21589</v>
      </c>
      <c r="E13" s="24">
        <v>26573</v>
      </c>
      <c r="F13" s="24">
        <v>32365</v>
      </c>
      <c r="I13" s="30"/>
      <c r="J13" s="30"/>
      <c r="K13" s="30"/>
      <c r="L13" s="30"/>
      <c r="M13" s="30"/>
    </row>
    <row r="14" spans="1:13" ht="14" thickBot="1" x14ac:dyDescent="0.2">
      <c r="A14" s="31" t="s">
        <v>34</v>
      </c>
      <c r="B14" s="32">
        <v>6951</v>
      </c>
      <c r="C14" s="32">
        <v>7508</v>
      </c>
      <c r="D14" s="32">
        <v>7297</v>
      </c>
      <c r="E14" s="32">
        <v>7731</v>
      </c>
      <c r="F14" s="32">
        <v>9788</v>
      </c>
    </row>
    <row r="15" spans="1:13" ht="14" thickTop="1" x14ac:dyDescent="0.15">
      <c r="A15" s="18" t="s">
        <v>29</v>
      </c>
      <c r="B15" s="40">
        <v>71.5</v>
      </c>
      <c r="C15" s="40">
        <v>71.400000000000006</v>
      </c>
      <c r="D15" s="40">
        <v>71.599999999999994</v>
      </c>
      <c r="E15" s="40">
        <v>71.2</v>
      </c>
      <c r="F15" s="40">
        <v>70.900000000000006</v>
      </c>
    </row>
    <row r="16" spans="1:13" x14ac:dyDescent="0.15">
      <c r="A16" s="18" t="s">
        <v>30</v>
      </c>
      <c r="B16" s="40">
        <v>70.3</v>
      </c>
      <c r="C16" s="40">
        <v>78.2</v>
      </c>
      <c r="D16" s="40">
        <v>78.2</v>
      </c>
      <c r="E16" s="40">
        <v>79.400000000000006</v>
      </c>
      <c r="F16" s="40">
        <v>80</v>
      </c>
    </row>
    <row r="17" spans="1:9" x14ac:dyDescent="0.15">
      <c r="A17" s="18" t="s">
        <v>31</v>
      </c>
      <c r="B17" s="40">
        <v>9.4</v>
      </c>
      <c r="C17" s="40">
        <v>10</v>
      </c>
      <c r="D17" s="40">
        <v>12.8</v>
      </c>
      <c r="E17" s="40">
        <v>10.7</v>
      </c>
      <c r="F17" s="40">
        <v>11</v>
      </c>
    </row>
    <row r="18" spans="1:9" x14ac:dyDescent="0.15">
      <c r="A18" s="18" t="s">
        <v>32</v>
      </c>
      <c r="B18" s="28">
        <v>1.01</v>
      </c>
      <c r="C18" s="28">
        <v>1.05</v>
      </c>
      <c r="D18" s="28">
        <v>1.05</v>
      </c>
      <c r="E18" s="28">
        <v>1.06</v>
      </c>
      <c r="F18" s="28">
        <v>1.07</v>
      </c>
    </row>
    <row r="20" spans="1:9" ht="17" x14ac:dyDescent="0.15">
      <c r="A20" s="15" t="s">
        <v>35</v>
      </c>
      <c r="B20" s="15"/>
      <c r="C20" s="15"/>
      <c r="D20" s="15"/>
      <c r="E20" s="15"/>
      <c r="F20" s="15"/>
    </row>
    <row r="21" spans="1:9" x14ac:dyDescent="0.15">
      <c r="A21" s="18" t="s">
        <v>40</v>
      </c>
      <c r="B21" s="36">
        <v>94547</v>
      </c>
      <c r="C21" s="35">
        <v>115099</v>
      </c>
      <c r="D21" s="35">
        <v>132938</v>
      </c>
      <c r="E21" s="35">
        <v>154119</v>
      </c>
      <c r="F21" s="35">
        <v>176164</v>
      </c>
    </row>
    <row r="22" spans="1:9" x14ac:dyDescent="0.15">
      <c r="A22" s="18" t="s">
        <v>41</v>
      </c>
      <c r="B22" s="34">
        <v>81634</v>
      </c>
      <c r="C22" s="35">
        <v>99842</v>
      </c>
      <c r="D22" s="35">
        <v>113176</v>
      </c>
      <c r="E22" s="35">
        <v>131336</v>
      </c>
      <c r="F22" s="35">
        <v>149965</v>
      </c>
      <c r="I22" s="30"/>
    </row>
    <row r="23" spans="1:9" x14ac:dyDescent="0.15">
      <c r="A23" s="18" t="s">
        <v>229</v>
      </c>
      <c r="B23" s="34" t="s">
        <v>146</v>
      </c>
      <c r="C23" s="91">
        <f>C22/B22-1</f>
        <v>0.22304431976872374</v>
      </c>
      <c r="D23" s="91">
        <f t="shared" ref="D23:F23" si="3">D22/C22-1</f>
        <v>0.13355101059674279</v>
      </c>
      <c r="E23" s="91">
        <f t="shared" si="3"/>
        <v>0.16045804764260985</v>
      </c>
      <c r="F23" s="91">
        <f t="shared" si="3"/>
        <v>0.14184229761832245</v>
      </c>
      <c r="I23" s="30"/>
    </row>
    <row r="24" spans="1:9" x14ac:dyDescent="0.15">
      <c r="A24" s="18" t="s">
        <v>42</v>
      </c>
      <c r="B24" s="34">
        <v>39526</v>
      </c>
      <c r="C24" s="35">
        <v>49122</v>
      </c>
      <c r="D24" s="35">
        <v>56675</v>
      </c>
      <c r="E24" s="35">
        <v>65001</v>
      </c>
      <c r="F24" s="35">
        <v>76560</v>
      </c>
    </row>
    <row r="25" spans="1:9" x14ac:dyDescent="0.15">
      <c r="A25" s="18" t="s">
        <v>36</v>
      </c>
      <c r="B25" s="26">
        <v>0.48399999999999999</v>
      </c>
      <c r="C25" s="26">
        <v>0.49199999999999999</v>
      </c>
      <c r="D25" s="26">
        <v>0.501</v>
      </c>
      <c r="E25" s="26">
        <v>0.495</v>
      </c>
      <c r="F25" s="26">
        <v>0.51100000000000001</v>
      </c>
    </row>
    <row r="26" spans="1:9" x14ac:dyDescent="0.15">
      <c r="A26" s="18" t="s">
        <v>43</v>
      </c>
      <c r="B26" s="34">
        <v>25321</v>
      </c>
      <c r="C26" s="35">
        <v>30172</v>
      </c>
      <c r="D26" s="35">
        <v>34572</v>
      </c>
      <c r="E26" s="35">
        <v>40379</v>
      </c>
      <c r="F26" s="35">
        <v>49311</v>
      </c>
    </row>
    <row r="27" spans="1:9" x14ac:dyDescent="0.15">
      <c r="A27" s="18" t="s">
        <v>37</v>
      </c>
      <c r="B27" s="26">
        <v>0.31</v>
      </c>
      <c r="C27" s="26">
        <v>0.30199999999999999</v>
      </c>
      <c r="D27" s="26">
        <v>0.30499999999999999</v>
      </c>
      <c r="E27" s="26">
        <v>0.307</v>
      </c>
      <c r="F27" s="25">
        <v>0.32900000000000001</v>
      </c>
    </row>
    <row r="28" spans="1:9" x14ac:dyDescent="0.15">
      <c r="A28" s="18" t="s">
        <v>44</v>
      </c>
      <c r="B28" s="34">
        <v>29100</v>
      </c>
      <c r="C28" s="35">
        <v>49000</v>
      </c>
      <c r="D28" s="35">
        <v>44413</v>
      </c>
      <c r="E28" s="35">
        <v>36000</v>
      </c>
      <c r="F28" s="35">
        <v>31500</v>
      </c>
    </row>
    <row r="29" spans="1:9" ht="14" thickBot="1" x14ac:dyDescent="0.2">
      <c r="A29" s="31" t="s">
        <v>45</v>
      </c>
      <c r="B29" s="32">
        <v>14205</v>
      </c>
      <c r="C29" s="32">
        <v>18950</v>
      </c>
      <c r="D29" s="32">
        <v>22103</v>
      </c>
      <c r="E29" s="32">
        <v>24622</v>
      </c>
      <c r="F29" s="32">
        <v>27249</v>
      </c>
    </row>
    <row r="30" spans="1:9" ht="14" thickTop="1" x14ac:dyDescent="0.15">
      <c r="A30" s="18" t="s">
        <v>62</v>
      </c>
      <c r="B30" s="40">
        <v>410.2</v>
      </c>
      <c r="C30" s="40">
        <v>439.3</v>
      </c>
      <c r="D30" s="40">
        <v>481.8</v>
      </c>
      <c r="E30" s="40">
        <v>488.2</v>
      </c>
      <c r="F30" s="40">
        <v>524.4</v>
      </c>
    </row>
    <row r="31" spans="1:9" x14ac:dyDescent="0.15">
      <c r="A31" s="18" t="s">
        <v>39</v>
      </c>
      <c r="B31" s="40">
        <v>167.6</v>
      </c>
      <c r="C31" s="40">
        <v>178.2</v>
      </c>
      <c r="D31" s="40">
        <v>181.7</v>
      </c>
      <c r="E31" s="40">
        <v>206.2</v>
      </c>
      <c r="F31" s="40">
        <v>214</v>
      </c>
    </row>
    <row r="32" spans="1:9" x14ac:dyDescent="0.15">
      <c r="A32" s="18" t="s">
        <v>38</v>
      </c>
      <c r="B32" s="40">
        <v>91.4</v>
      </c>
      <c r="C32" s="40">
        <v>113.3</v>
      </c>
      <c r="D32" s="40">
        <v>148.5</v>
      </c>
      <c r="E32" s="40">
        <v>184.5</v>
      </c>
      <c r="F32" s="40">
        <v>241.4</v>
      </c>
    </row>
    <row r="34" spans="1:9" ht="17" x14ac:dyDescent="0.15">
      <c r="A34" s="15" t="s">
        <v>46</v>
      </c>
      <c r="B34" s="15"/>
      <c r="C34" s="15"/>
      <c r="D34" s="15"/>
      <c r="E34" s="15"/>
      <c r="F34" s="15"/>
    </row>
    <row r="35" spans="1:9" x14ac:dyDescent="0.15">
      <c r="A35" s="18" t="s">
        <v>53</v>
      </c>
      <c r="B35" s="34">
        <v>199704</v>
      </c>
      <c r="C35" s="35">
        <v>260364</v>
      </c>
      <c r="D35" s="35">
        <v>306786</v>
      </c>
      <c r="E35" s="35">
        <v>330943</v>
      </c>
      <c r="F35" s="35">
        <v>371085</v>
      </c>
    </row>
    <row r="36" spans="1:9" x14ac:dyDescent="0.15">
      <c r="A36" s="18" t="s">
        <v>48</v>
      </c>
      <c r="B36" s="34">
        <v>174980</v>
      </c>
      <c r="C36" s="35">
        <v>230931</v>
      </c>
      <c r="D36" s="35">
        <v>273079</v>
      </c>
      <c r="E36" s="35">
        <v>291043</v>
      </c>
      <c r="F36" s="35">
        <v>328202</v>
      </c>
    </row>
    <row r="37" spans="1:9" x14ac:dyDescent="0.15">
      <c r="A37" s="18" t="s">
        <v>49</v>
      </c>
      <c r="B37" s="34">
        <v>12381</v>
      </c>
      <c r="C37" s="35">
        <v>17928</v>
      </c>
      <c r="D37" s="35">
        <v>23040</v>
      </c>
      <c r="E37" s="35">
        <v>25094</v>
      </c>
      <c r="F37" s="35">
        <v>27034</v>
      </c>
    </row>
    <row r="38" spans="1:9" x14ac:dyDescent="0.15">
      <c r="A38" s="18" t="s">
        <v>36</v>
      </c>
      <c r="B38" s="39">
        <f>B37/B36</f>
        <v>7.0756657903760428E-2</v>
      </c>
      <c r="C38" s="39">
        <f t="shared" ref="C38:F38" si="4">C37/C36</f>
        <v>7.7633578861218286E-2</v>
      </c>
      <c r="D38" s="39">
        <f t="shared" si="4"/>
        <v>8.4371189289546247E-2</v>
      </c>
      <c r="E38" s="39">
        <f t="shared" si="4"/>
        <v>8.6220936425201775E-2</v>
      </c>
      <c r="F38" s="39">
        <f t="shared" si="4"/>
        <v>8.2370003839099093E-2</v>
      </c>
      <c r="I38" s="6"/>
    </row>
    <row r="39" spans="1:9" x14ac:dyDescent="0.15">
      <c r="A39" s="18" t="s">
        <v>50</v>
      </c>
      <c r="B39" s="34">
        <v>9512</v>
      </c>
      <c r="C39" s="35">
        <v>13425</v>
      </c>
      <c r="D39" s="35">
        <v>17351</v>
      </c>
      <c r="E39" s="35">
        <v>18349</v>
      </c>
      <c r="F39" s="35">
        <v>19166</v>
      </c>
    </row>
    <row r="40" spans="1:9" x14ac:dyDescent="0.15">
      <c r="A40" s="18" t="s">
        <v>37</v>
      </c>
      <c r="B40" s="39">
        <f>B39/B36</f>
        <v>5.4360498342667735E-2</v>
      </c>
      <c r="C40" s="39">
        <f t="shared" ref="C40:F40" si="5">C39/C36</f>
        <v>5.8134247892227549E-2</v>
      </c>
      <c r="D40" s="39">
        <f t="shared" si="5"/>
        <v>6.353838998970994E-2</v>
      </c>
      <c r="E40" s="39">
        <f t="shared" si="5"/>
        <v>6.3045666791505042E-2</v>
      </c>
      <c r="F40" s="39">
        <f t="shared" si="5"/>
        <v>5.8396962846052128E-2</v>
      </c>
    </row>
    <row r="41" spans="1:9" x14ac:dyDescent="0.15">
      <c r="A41" s="18" t="s">
        <v>51</v>
      </c>
      <c r="B41" s="35">
        <v>10500</v>
      </c>
      <c r="C41" s="35">
        <v>17400</v>
      </c>
      <c r="D41" s="35">
        <v>26100</v>
      </c>
      <c r="E41" s="35">
        <v>19500</v>
      </c>
      <c r="F41" s="35">
        <v>16200</v>
      </c>
    </row>
    <row r="42" spans="1:9" ht="14" thickBot="1" x14ac:dyDescent="0.2">
      <c r="A42" s="31" t="s">
        <v>45</v>
      </c>
      <c r="B42" s="32">
        <v>2869</v>
      </c>
      <c r="C42" s="32">
        <v>4503</v>
      </c>
      <c r="D42" s="32">
        <v>5689</v>
      </c>
      <c r="E42" s="32">
        <v>6745</v>
      </c>
      <c r="F42" s="32">
        <v>7868</v>
      </c>
    </row>
    <row r="43" spans="1:9" ht="14" thickTop="1" x14ac:dyDescent="0.15">
      <c r="A43" s="18" t="s">
        <v>54</v>
      </c>
      <c r="B43" s="27">
        <v>193</v>
      </c>
      <c r="C43" s="27">
        <v>249</v>
      </c>
      <c r="D43" s="27">
        <v>304</v>
      </c>
      <c r="E43" s="27">
        <v>349</v>
      </c>
      <c r="F43" s="27">
        <v>387</v>
      </c>
    </row>
    <row r="44" spans="1:9" x14ac:dyDescent="0.15">
      <c r="A44" s="18" t="s">
        <v>52</v>
      </c>
      <c r="B44" s="42">
        <v>15196</v>
      </c>
      <c r="C44" s="42">
        <v>18040</v>
      </c>
      <c r="D44" s="42">
        <v>18836</v>
      </c>
      <c r="E44" s="42">
        <v>18918</v>
      </c>
      <c r="F44" s="42">
        <v>20160</v>
      </c>
      <c r="G44" s="35"/>
    </row>
    <row r="45" spans="1:9" x14ac:dyDescent="0.15">
      <c r="A45" s="18" t="s">
        <v>55</v>
      </c>
      <c r="B45" s="42">
        <v>572</v>
      </c>
      <c r="C45" s="42">
        <v>780</v>
      </c>
      <c r="D45" s="42">
        <v>943</v>
      </c>
      <c r="E45" s="42">
        <v>1110</v>
      </c>
      <c r="F45" s="42">
        <v>1320</v>
      </c>
    </row>
    <row r="47" spans="1:9" ht="17" x14ac:dyDescent="0.15">
      <c r="A47" s="15" t="s">
        <v>57</v>
      </c>
      <c r="B47" s="15"/>
      <c r="C47" s="15"/>
      <c r="D47" s="15"/>
      <c r="E47" s="15"/>
      <c r="F47" s="15"/>
    </row>
    <row r="48" spans="1:9" x14ac:dyDescent="0.15">
      <c r="A48" s="18" t="s">
        <v>53</v>
      </c>
      <c r="B48" s="35">
        <v>7458</v>
      </c>
      <c r="C48" s="35">
        <v>16508</v>
      </c>
      <c r="D48" s="35">
        <v>24278</v>
      </c>
      <c r="E48" s="35">
        <v>25211</v>
      </c>
      <c r="F48" s="35">
        <v>23861</v>
      </c>
    </row>
    <row r="49" spans="1:6" x14ac:dyDescent="0.15">
      <c r="A49" s="18" t="s">
        <v>49</v>
      </c>
      <c r="B49" s="35">
        <v>5457</v>
      </c>
      <c r="C49" s="35">
        <v>13589</v>
      </c>
      <c r="D49" s="35">
        <v>19657</v>
      </c>
      <c r="E49" s="35">
        <v>21188</v>
      </c>
      <c r="F49" s="35">
        <v>19050</v>
      </c>
    </row>
    <row r="50" spans="1:6" x14ac:dyDescent="0.15">
      <c r="A50" s="18" t="s">
        <v>36</v>
      </c>
      <c r="B50" s="21">
        <f>B49/B48</f>
        <v>0.73169750603378925</v>
      </c>
      <c r="C50" s="21">
        <f t="shared" ref="C50:F50" si="6">C49/C48</f>
        <v>0.8231766416283014</v>
      </c>
      <c r="D50" s="21">
        <f t="shared" si="6"/>
        <v>0.80966306944558863</v>
      </c>
      <c r="E50" s="21">
        <f t="shared" si="6"/>
        <v>0.84042679782634566</v>
      </c>
      <c r="F50" s="21">
        <f t="shared" si="6"/>
        <v>0.79837391559448467</v>
      </c>
    </row>
    <row r="51" spans="1:6" x14ac:dyDescent="0.15">
      <c r="A51" s="18" t="s">
        <v>50</v>
      </c>
      <c r="B51" s="35">
        <v>3124</v>
      </c>
      <c r="C51" s="35">
        <v>9652</v>
      </c>
      <c r="D51" s="35">
        <v>14640</v>
      </c>
      <c r="E51" s="35">
        <v>15413</v>
      </c>
      <c r="F51" s="35">
        <v>12680</v>
      </c>
    </row>
    <row r="52" spans="1:6" x14ac:dyDescent="0.15">
      <c r="A52" s="18" t="s">
        <v>51</v>
      </c>
      <c r="B52" s="35">
        <v>2600</v>
      </c>
      <c r="C52" s="35">
        <v>4100</v>
      </c>
      <c r="D52" s="35">
        <v>5400</v>
      </c>
      <c r="E52" s="35">
        <v>6300</v>
      </c>
      <c r="F52" s="35">
        <v>5800</v>
      </c>
    </row>
    <row r="53" spans="1:6" ht="14" thickBot="1" x14ac:dyDescent="0.2">
      <c r="A53" s="31" t="s">
        <v>45</v>
      </c>
      <c r="B53" s="32">
        <v>2333</v>
      </c>
      <c r="C53" s="32">
        <v>3937</v>
      </c>
      <c r="D53" s="32">
        <v>5017</v>
      </c>
      <c r="E53" s="32">
        <v>5775</v>
      </c>
      <c r="F53" s="32">
        <v>6370</v>
      </c>
    </row>
    <row r="54" spans="1:6" ht="14" thickTop="1" x14ac:dyDescent="0.15">
      <c r="A54" s="18" t="s">
        <v>58</v>
      </c>
      <c r="B54" s="38">
        <v>18</v>
      </c>
      <c r="C54" s="38">
        <v>20</v>
      </c>
      <c r="D54" s="38">
        <v>28.5</v>
      </c>
      <c r="E54" s="38">
        <v>29.5</v>
      </c>
      <c r="F54" s="38">
        <v>25.9</v>
      </c>
    </row>
    <row r="55" spans="1:6" x14ac:dyDescent="0.15">
      <c r="A55" s="18" t="s">
        <v>59</v>
      </c>
      <c r="B55">
        <v>4.92</v>
      </c>
      <c r="C55">
        <v>8.74</v>
      </c>
      <c r="D55">
        <v>9.5299999999999994</v>
      </c>
      <c r="E55">
        <v>9.65</v>
      </c>
      <c r="F55">
        <v>9.81</v>
      </c>
    </row>
    <row r="56" spans="1:6" x14ac:dyDescent="0.15">
      <c r="A56" s="18" t="s">
        <v>60</v>
      </c>
      <c r="B56">
        <v>7.13</v>
      </c>
      <c r="C56">
        <v>12.35</v>
      </c>
      <c r="D56" s="41">
        <v>11.6</v>
      </c>
      <c r="E56">
        <v>10.95</v>
      </c>
      <c r="F56">
        <v>9.43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17FA-9ABB-3745-A191-6DC44D9CF439}">
  <dimension ref="A1:G58"/>
  <sheetViews>
    <sheetView showGridLines="0" zoomScale="125" workbookViewId="0"/>
  </sheetViews>
  <sheetFormatPr baseColWidth="10" defaultRowHeight="13" x14ac:dyDescent="0.15"/>
  <cols>
    <col min="1" max="1" width="39.1640625" customWidth="1"/>
    <col min="2" max="4" width="13.6640625" bestFit="1" customWidth="1"/>
    <col min="5" max="5" width="12.6640625" bestFit="1" customWidth="1"/>
    <col min="6" max="6" width="13.6640625" bestFit="1" customWidth="1"/>
  </cols>
  <sheetData>
    <row r="1" spans="1:6" ht="19" x14ac:dyDescent="0.25">
      <c r="A1" s="9" t="s">
        <v>14</v>
      </c>
    </row>
    <row r="2" spans="1:6" ht="16" x14ac:dyDescent="0.2">
      <c r="A2" s="11" t="s">
        <v>144</v>
      </c>
    </row>
    <row r="4" spans="1:6" ht="17" x14ac:dyDescent="0.15">
      <c r="A4" s="15" t="s">
        <v>161</v>
      </c>
      <c r="B4" s="15" t="s">
        <v>17</v>
      </c>
      <c r="C4" s="15" t="s">
        <v>18</v>
      </c>
      <c r="D4" s="15" t="s">
        <v>19</v>
      </c>
      <c r="E4" s="15" t="s">
        <v>20</v>
      </c>
      <c r="F4" s="15" t="s">
        <v>22</v>
      </c>
    </row>
    <row r="5" spans="1:6" x14ac:dyDescent="0.15">
      <c r="A5" s="18" t="s">
        <v>145</v>
      </c>
      <c r="B5" s="27" t="s">
        <v>150</v>
      </c>
      <c r="C5" s="23">
        <f>'02_Consolidated_Historical_Data'!C7/'02_Consolidated_Historical_Data'!B7-1</f>
        <v>0.25302528524117984</v>
      </c>
      <c r="D5" s="23">
        <f>'02_Consolidated_Historical_Data'!D7/'02_Consolidated_Historical_Data'!C7-1</f>
        <v>4.2685867724777227E-2</v>
      </c>
      <c r="E5" s="23">
        <f>'02_Consolidated_Historical_Data'!E7/'02_Consolidated_Historical_Data'!D7-1</f>
        <v>7.1805369655932649E-2</v>
      </c>
      <c r="F5" s="23">
        <f>'02_Consolidated_Historical_Data'!F7/'02_Consolidated_Historical_Data'!E7-1</f>
        <v>9.7475248332884457E-2</v>
      </c>
    </row>
    <row r="6" spans="1:6" x14ac:dyDescent="0.15">
      <c r="A6" s="18" t="s">
        <v>147</v>
      </c>
      <c r="B6" s="27" t="s">
        <v>150</v>
      </c>
      <c r="C6" s="23">
        <f>'02_Consolidated_Historical_Data'!C16/'02_Consolidated_Historical_Data'!B16-1</f>
        <v>0.24446169270075346</v>
      </c>
      <c r="D6" s="23">
        <f>'02_Consolidated_Historical_Data'!D16/'02_Consolidated_Historical_Data'!C16-1</f>
        <v>0.15832900207900202</v>
      </c>
      <c r="E6" s="23">
        <f>'02_Consolidated_Historical_Data'!E16/'02_Consolidated_Historical_Data'!D16-1</f>
        <v>2.8784564473610441E-2</v>
      </c>
      <c r="F6" s="23">
        <f>'02_Consolidated_Historical_Data'!F16/'02_Consolidated_Historical_Data'!E16-1</f>
        <v>0.13351179247854672</v>
      </c>
    </row>
    <row r="7" spans="1:6" x14ac:dyDescent="0.15">
      <c r="A7" s="18" t="s">
        <v>148</v>
      </c>
      <c r="B7" s="27" t="s">
        <v>150</v>
      </c>
      <c r="C7" s="23">
        <f>'02_Consolidated_Historical_Data'!C26/'02_Consolidated_Historical_Data'!B26-1</f>
        <v>0.11310890849752209</v>
      </c>
      <c r="D7" s="23">
        <f>'02_Consolidated_Historical_Data'!D26/'02_Consolidated_Historical_Data'!C26-1</f>
        <v>7.2621148364327315E-2</v>
      </c>
      <c r="E7" s="23">
        <f>'02_Consolidated_Historical_Data'!E26/'02_Consolidated_Historical_Data'!D26-1</f>
        <v>2.8967350037965023E-2</v>
      </c>
      <c r="F7" s="23">
        <f>'02_Consolidated_Historical_Data'!F26/'02_Consolidated_Historical_Data'!E26-1</f>
        <v>0.17765561008006503</v>
      </c>
    </row>
    <row r="8" spans="1:6" x14ac:dyDescent="0.15">
      <c r="A8" s="18" t="s">
        <v>149</v>
      </c>
      <c r="B8" s="27" t="s">
        <v>150</v>
      </c>
      <c r="C8" s="23">
        <f>'02_Consolidated_Historical_Data'!C28/'02_Consolidated_Historical_Data'!B28-1</f>
        <v>9.4972067039106101E-2</v>
      </c>
      <c r="D8" s="23">
        <f>'02_Consolidated_Historical_Data'!D28/'02_Consolidated_Historical_Data'!C28-1</f>
        <v>5.0000000000000044E-2</v>
      </c>
      <c r="E8" s="23">
        <f>'02_Consolidated_Historical_Data'!E28/'02_Consolidated_Historical_Data'!D28-1</f>
        <v>-0.49951409135082603</v>
      </c>
      <c r="F8" s="23">
        <f>'02_Consolidated_Historical_Data'!F28/'02_Consolidated_Historical_Data'!E28-1</f>
        <v>0.15922330097087389</v>
      </c>
    </row>
    <row r="9" spans="1:6" x14ac:dyDescent="0.15">
      <c r="A9" s="18" t="s">
        <v>0</v>
      </c>
      <c r="B9" s="35">
        <f>'02_Consolidated_Historical_Data'!B16-'02_Consolidated_Historical_Data'!B17</f>
        <v>93902</v>
      </c>
      <c r="C9" s="35">
        <f>'02_Consolidated_Historical_Data'!C16-'02_Consolidated_Historical_Data'!C17</f>
        <v>113617</v>
      </c>
      <c r="D9" s="35">
        <f>'02_Consolidated_Historical_Data'!D16-'02_Consolidated_Historical_Data'!D17</f>
        <v>127458</v>
      </c>
      <c r="E9" s="35">
        <f>'02_Consolidated_Historical_Data'!E16-'02_Consolidated_Historical_Data'!E17</f>
        <v>130286</v>
      </c>
      <c r="F9" s="35">
        <f>'02_Consolidated_Historical_Data'!F16-'02_Consolidated_Historical_Data'!F17</f>
        <v>150223</v>
      </c>
    </row>
    <row r="10" spans="1:6" x14ac:dyDescent="0.15">
      <c r="A10" s="6"/>
    </row>
    <row r="11" spans="1:6" ht="17" x14ac:dyDescent="0.15">
      <c r="A11" s="15" t="s">
        <v>151</v>
      </c>
      <c r="B11" s="15" t="s">
        <v>17</v>
      </c>
      <c r="C11" s="15" t="s">
        <v>18</v>
      </c>
      <c r="D11" s="15" t="s">
        <v>19</v>
      </c>
      <c r="E11" s="15" t="s">
        <v>20</v>
      </c>
      <c r="F11" s="15" t="s">
        <v>22</v>
      </c>
    </row>
    <row r="12" spans="1:6" x14ac:dyDescent="0.15">
      <c r="A12" s="18" t="s">
        <v>36</v>
      </c>
      <c r="B12" s="23">
        <f>'02_Consolidated_Historical_Data'!B16/'02_Consolidated_Historical_Data'!B7</f>
        <v>0.17670808961987844</v>
      </c>
      <c r="C12" s="23">
        <f>'02_Consolidated_Historical_Data'!C16/'02_Consolidated_Historical_Data'!C7</f>
        <v>0.17550040762341299</v>
      </c>
      <c r="D12" s="23">
        <f>'02_Consolidated_Historical_Data'!D16/'02_Consolidated_Historical_Data'!D7</f>
        <v>0.19496496338870956</v>
      </c>
      <c r="E12" s="23">
        <f>'02_Consolidated_Historical_Data'!E16/'02_Consolidated_Historical_Data'!E7</f>
        <v>0.18713933576564884</v>
      </c>
      <c r="F12" s="23">
        <f>'02_Consolidated_Historical_Data'!F16/'02_Consolidated_Historical_Data'!F7</f>
        <v>0.1932842168870709</v>
      </c>
    </row>
    <row r="13" spans="1:6" x14ac:dyDescent="0.15">
      <c r="A13" s="18" t="s">
        <v>78</v>
      </c>
      <c r="B13" s="23">
        <f>'02_Consolidated_Historical_Data'!B26/'02_Consolidated_Historical_Data'!B7</f>
        <v>9.4557486848760031E-2</v>
      </c>
      <c r="C13" s="23">
        <f>'02_Consolidated_Historical_Data'!C26/'02_Consolidated_Historical_Data'!C7</f>
        <v>8.399892820697008E-2</v>
      </c>
      <c r="D13" s="23">
        <f>'02_Consolidated_Historical_Data'!D26/'02_Consolidated_Historical_Data'!D7</f>
        <v>8.6410518856782928E-2</v>
      </c>
      <c r="E13" s="23">
        <f>'02_Consolidated_Historical_Data'!E26/'02_Consolidated_Historical_Data'!E7</f>
        <v>8.2956854967065799E-2</v>
      </c>
      <c r="F13" s="23">
        <f>'02_Consolidated_Historical_Data'!F26/'02_Consolidated_Historical_Data'!F7</f>
        <v>8.9017593604016079E-2</v>
      </c>
    </row>
    <row r="14" spans="1:6" x14ac:dyDescent="0.15">
      <c r="A14" s="18" t="s">
        <v>37</v>
      </c>
      <c r="B14" s="23">
        <f>B9/'02_Consolidated_Historical_Data'!B7</f>
        <v>0.13415836350284455</v>
      </c>
      <c r="C14" s="23">
        <f>C9/'02_Consolidated_Historical_Data'!C7</f>
        <v>0.12954671136271642</v>
      </c>
      <c r="D14" s="23">
        <f>D9/'02_Consolidated_Historical_Data'!D7</f>
        <v>0.13937878907172663</v>
      </c>
      <c r="E14" s="23">
        <f>E9/'02_Consolidated_Historical_Data'!E7</f>
        <v>0.13292645102312331</v>
      </c>
      <c r="F14" s="23">
        <f>F9/'02_Consolidated_Historical_Data'!F7</f>
        <v>0.13965463546145443</v>
      </c>
    </row>
    <row r="16" spans="1:6" ht="17" x14ac:dyDescent="0.15">
      <c r="A16" s="15" t="s">
        <v>152</v>
      </c>
      <c r="B16" s="15" t="s">
        <v>17</v>
      </c>
      <c r="C16" s="15" t="s">
        <v>18</v>
      </c>
      <c r="D16" s="15" t="s">
        <v>19</v>
      </c>
      <c r="E16" s="15" t="s">
        <v>20</v>
      </c>
      <c r="F16" s="15" t="s">
        <v>22</v>
      </c>
    </row>
    <row r="17" spans="1:7" x14ac:dyDescent="0.15">
      <c r="A17" s="18" t="s">
        <v>153</v>
      </c>
      <c r="B17" s="23">
        <f>'02_Consolidated_Historical_Data'!B26/('03_Consolidated_Balance_Sheet_'!J11-'03_Consolidated_Balance_Sheet_'!J10)</f>
        <v>0.10259065269319065</v>
      </c>
      <c r="C17" s="23">
        <f>'02_Consolidated_Historical_Data'!C26/('03_Consolidated_Balance_Sheet_'!K11-'03_Consolidated_Balance_Sheet_'!K10)</f>
        <v>0.11013933739983256</v>
      </c>
      <c r="D17" s="23">
        <f>'02_Consolidated_Historical_Data'!D26/('03_Consolidated_Balance_Sheet_'!L11-'03_Consolidated_Balance_Sheet_'!L10)</f>
        <v>0.10024064350890458</v>
      </c>
      <c r="E17" s="23">
        <f>'02_Consolidated_Historical_Data'!E26/('03_Consolidated_Balance_Sheet_'!M11-'03_Consolidated_Balance_Sheet_'!M10)</f>
        <v>9.6429079696394693E-2</v>
      </c>
      <c r="F17" s="23">
        <f>'02_Consolidated_Historical_Data'!F26/('03_Consolidated_Balance_Sheet_'!N11-'03_Consolidated_Balance_Sheet_'!N10)</f>
        <v>0.10591905135891508</v>
      </c>
    </row>
    <row r="18" spans="1:7" x14ac:dyDescent="0.15">
      <c r="A18" s="18" t="s">
        <v>154</v>
      </c>
      <c r="B18" s="23">
        <f>B9/('03_Consolidated_Balance_Sheet_'!J11+'03_Consolidated_Balance_Sheet_'!J19)</f>
        <v>8.5027277872099599E-2</v>
      </c>
      <c r="C18" s="23">
        <f>C9/('03_Consolidated_Balance_Sheet_'!K11+'03_Consolidated_Balance_Sheet_'!K19)</f>
        <v>9.5719308059690936E-2</v>
      </c>
      <c r="D18" s="23">
        <f>D9/('03_Consolidated_Balance_Sheet_'!L11+'03_Consolidated_Balance_Sheet_'!L19)</f>
        <v>9.4957262601255935E-2</v>
      </c>
      <c r="E18" s="23">
        <f>E9/('03_Consolidated_Balance_Sheet_'!M11+'03_Consolidated_Balance_Sheet_'!M19)</f>
        <v>8.706722338651042E-2</v>
      </c>
      <c r="F18" s="23">
        <f>F9/('03_Consolidated_Balance_Sheet_'!N11+'03_Consolidated_Balance_Sheet_'!N19)</f>
        <v>9.1773648256506565E-2</v>
      </c>
      <c r="G18" s="21"/>
    </row>
    <row r="19" spans="1:7" x14ac:dyDescent="0.15">
      <c r="A19" s="18" t="s">
        <v>155</v>
      </c>
      <c r="B19" s="23">
        <f>'02_Consolidated_Historical_Data'!B26/'03_Consolidated_Balance_Sheet_'!B27</f>
        <v>5.033218144651027E-2</v>
      </c>
      <c r="C19" s="23">
        <f>'02_Consolidated_Historical_Data'!C26/'03_Consolidated_Balance_Sheet_'!C27</f>
        <v>4.8583994518390627E-2</v>
      </c>
      <c r="D19" s="23">
        <f>'02_Consolidated_Historical_Data'!D26/'03_Consolidated_Balance_Sheet_'!D27</f>
        <v>4.8005919636559591E-2</v>
      </c>
      <c r="E19" s="23">
        <f>'02_Consolidated_Historical_Data'!E26/'03_Consolidated_Balance_Sheet_'!E27</f>
        <v>4.1694335889926833E-2</v>
      </c>
      <c r="F19" s="23">
        <f>'02_Consolidated_Historical_Data'!F26/'03_Consolidated_Balance_Sheet_'!F27</f>
        <v>4.3961361528643703E-2</v>
      </c>
    </row>
    <row r="21" spans="1:7" ht="17" x14ac:dyDescent="0.15">
      <c r="A21" s="15" t="s">
        <v>162</v>
      </c>
      <c r="B21" s="15" t="s">
        <v>17</v>
      </c>
      <c r="C21" s="15" t="s">
        <v>18</v>
      </c>
      <c r="D21" s="15" t="s">
        <v>19</v>
      </c>
      <c r="E21" s="15" t="s">
        <v>20</v>
      </c>
      <c r="F21" s="15" t="s">
        <v>22</v>
      </c>
    </row>
    <row r="22" spans="1:7" x14ac:dyDescent="0.15">
      <c r="A22" s="18" t="s">
        <v>79</v>
      </c>
      <c r="B22" s="35">
        <f>'03_Consolidated_Balance_Sheet_'!J14+'03_Consolidated_Balance_Sheet_'!J22</f>
        <v>224623</v>
      </c>
      <c r="C22" s="35">
        <f>'03_Consolidated_Balance_Sheet_'!K14+'03_Consolidated_Balance_Sheet_'!K22</f>
        <v>272395</v>
      </c>
      <c r="D22" s="35">
        <f>'03_Consolidated_Balance_Sheet_'!L14+'03_Consolidated_Balance_Sheet_'!L22</f>
        <v>327865</v>
      </c>
      <c r="E22" s="35">
        <f>'03_Consolidated_Balance_Sheet_'!M14+'03_Consolidated_Balance_Sheet_'!M22</f>
        <v>347530</v>
      </c>
      <c r="F22" s="35">
        <f>'03_Consolidated_Balance_Sheet_'!N14+'03_Consolidated_Balance_Sheet_'!N22</f>
        <v>374421</v>
      </c>
      <c r="G22" s="35"/>
    </row>
    <row r="23" spans="1:7" x14ac:dyDescent="0.15">
      <c r="A23" s="18" t="s">
        <v>156</v>
      </c>
      <c r="B23" s="35">
        <f>'03_Consolidated_Balance_Sheet_'!B22</f>
        <v>36178</v>
      </c>
      <c r="C23" s="35">
        <f>'03_Consolidated_Balance_Sheet_'!C22</f>
        <v>6851</v>
      </c>
      <c r="D23" s="35">
        <f>'03_Consolidated_Balance_Sheet_'!D22</f>
        <v>10211</v>
      </c>
      <c r="E23" s="35">
        <f>'03_Consolidated_Balance_Sheet_'!E22</f>
        <v>106502</v>
      </c>
      <c r="F23" s="35">
        <f>'03_Consolidated_Balance_Sheet_'!F22</f>
        <v>145977</v>
      </c>
    </row>
    <row r="24" spans="1:7" ht="6" customHeight="1" x14ac:dyDescent="0.15"/>
    <row r="25" spans="1:7" ht="14" thickBot="1" x14ac:dyDescent="0.2">
      <c r="A25" s="79" t="s">
        <v>157</v>
      </c>
      <c r="B25" s="80">
        <f>B22-B23</f>
        <v>188445</v>
      </c>
      <c r="C25" s="80">
        <f t="shared" ref="C25:F25" si="0">C22-C23</f>
        <v>265544</v>
      </c>
      <c r="D25" s="80">
        <f t="shared" si="0"/>
        <v>317654</v>
      </c>
      <c r="E25" s="80">
        <f t="shared" si="0"/>
        <v>241028</v>
      </c>
      <c r="F25" s="80">
        <f t="shared" si="0"/>
        <v>228444</v>
      </c>
    </row>
    <row r="26" spans="1:7" ht="6" customHeight="1" thickTop="1" x14ac:dyDescent="0.15"/>
    <row r="27" spans="1:7" x14ac:dyDescent="0.15">
      <c r="A27" s="59" t="s">
        <v>158</v>
      </c>
      <c r="B27" s="81">
        <f>B22/'02_Consolidated_Historical_Data'!B16</f>
        <v>1.8161039423045826</v>
      </c>
      <c r="C27" s="81">
        <f>C22/'02_Consolidated_Historical_Data'!C16</f>
        <v>1.7697180353430353</v>
      </c>
      <c r="D27" s="81">
        <f>D22/'02_Consolidated_Historical_Data'!D16</f>
        <v>1.8389421728644344</v>
      </c>
      <c r="E27" s="81">
        <f>E22/'02_Consolidated_Historical_Data'!E16</f>
        <v>1.8947018351124729</v>
      </c>
      <c r="F27" s="81">
        <f>F22/'02_Consolidated_Historical_Data'!F16</f>
        <v>1.800871526759046</v>
      </c>
    </row>
    <row r="28" spans="1:7" x14ac:dyDescent="0.15">
      <c r="A28" s="59" t="s">
        <v>159</v>
      </c>
      <c r="B28" s="82">
        <f>B25/'02_Consolidated_Historical_Data'!B16</f>
        <v>1.5236004657029203</v>
      </c>
      <c r="C28" s="82">
        <f>C25/'02_Consolidated_Historical_Data'!C16</f>
        <v>1.7252079002079002</v>
      </c>
      <c r="D28" s="82">
        <f>D25/'02_Consolidated_Historical_Data'!D16</f>
        <v>1.7816703124123618</v>
      </c>
      <c r="E28" s="82">
        <f>E25/'02_Consolidated_Historical_Data'!E16</f>
        <v>1.3140626533349327</v>
      </c>
      <c r="F28" s="82">
        <f>F25/'02_Consolidated_Historical_Data'!F16</f>
        <v>1.0987586034408954</v>
      </c>
    </row>
    <row r="29" spans="1:7" x14ac:dyDescent="0.15">
      <c r="A29" s="18" t="s">
        <v>160</v>
      </c>
      <c r="B29" s="82">
        <f>B9/'02_Consolidated_Historical_Data'!B19</f>
        <v>6.4386999451453644</v>
      </c>
      <c r="C29" s="82">
        <f>C9/'02_Consolidated_Historical_Data'!C19</f>
        <v>5.8053753001890556</v>
      </c>
      <c r="D29" s="82">
        <f>D9/'02_Consolidated_Historical_Data'!D19</f>
        <v>5.5133662081494936</v>
      </c>
      <c r="E29" s="82">
        <f>E9/'02_Consolidated_Historical_Data'!E19</f>
        <v>5.3684123779306931</v>
      </c>
      <c r="F29" s="82">
        <f>F9/'02_Consolidated_Historical_Data'!F19</f>
        <v>5.5512730497764311</v>
      </c>
    </row>
    <row r="31" spans="1:7" ht="17" x14ac:dyDescent="0.15">
      <c r="A31" s="15" t="s">
        <v>163</v>
      </c>
      <c r="B31" s="15" t="s">
        <v>17</v>
      </c>
      <c r="C31" s="15" t="s">
        <v>18</v>
      </c>
      <c r="D31" s="15" t="s">
        <v>19</v>
      </c>
      <c r="E31" s="15" t="s">
        <v>20</v>
      </c>
      <c r="F31" s="15" t="s">
        <v>22</v>
      </c>
    </row>
    <row r="32" spans="1:7" x14ac:dyDescent="0.15">
      <c r="A32" s="18" t="s">
        <v>164</v>
      </c>
      <c r="B32" s="59">
        <f>'03_Consolidated_Balance_Sheet_'!B19/'02_Consolidated_Historical_Data'!B7*365</f>
        <v>56.184533113122093</v>
      </c>
      <c r="C32" s="59">
        <f>'03_Consolidated_Balance_Sheet_'!C19/'02_Consolidated_Historical_Data'!C7*365</f>
        <v>58.728112333031184</v>
      </c>
      <c r="D32" s="59">
        <f>'03_Consolidated_Balance_Sheet_'!D19/'02_Consolidated_Historical_Data'!D7*365</f>
        <v>57.583955550306619</v>
      </c>
      <c r="E32" s="59">
        <f>'03_Consolidated_Balance_Sheet_'!E19/'02_Consolidated_Historical_Data'!E7*365</f>
        <v>54.393094427712072</v>
      </c>
      <c r="F32" s="59">
        <f>'03_Consolidated_Balance_Sheet_'!F19/'02_Consolidated_Historical_Data'!F7*365</f>
        <v>56.646724149952355</v>
      </c>
    </row>
    <row r="33" spans="1:6" x14ac:dyDescent="0.15">
      <c r="A33" s="18" t="s">
        <v>165</v>
      </c>
      <c r="B33" s="59">
        <f>'03_Consolidated_Balance_Sheet_'!B21/'02_Consolidated_Historical_Data'!B7*365</f>
        <v>9.7907445559152713</v>
      </c>
      <c r="C33" s="59">
        <f>'03_Consolidated_Balance_Sheet_'!C21/'02_Consolidated_Historical_Data'!C7*365</f>
        <v>8.2448419960434869</v>
      </c>
      <c r="D33" s="59">
        <f>'03_Consolidated_Balance_Sheet_'!D21/'02_Consolidated_Historical_Data'!D7*365</f>
        <v>8.5455322852968703</v>
      </c>
      <c r="E33" s="59">
        <f>'03_Consolidated_Balance_Sheet_'!E21/'02_Consolidated_Historical_Data'!E7*365</f>
        <v>15.685746671890431</v>
      </c>
      <c r="F33" s="59">
        <f>'03_Consolidated_Balance_Sheet_'!F21/'02_Consolidated_Historical_Data'!F7*365</f>
        <v>19.847272642759197</v>
      </c>
    </row>
    <row r="34" spans="1:6" x14ac:dyDescent="0.15">
      <c r="A34" s="18" t="s">
        <v>166</v>
      </c>
      <c r="B34" s="59">
        <f>'03_Consolidated_Balance_Sheet_'!J24/'02_Consolidated_Historical_Data'!B7*365</f>
        <v>53.425394394328606</v>
      </c>
      <c r="C34" s="59">
        <f>'03_Consolidated_Balance_Sheet_'!K24/'02_Consolidated_Historical_Data'!C7*365</f>
        <v>59.140541711562257</v>
      </c>
      <c r="D34" s="59">
        <f>'03_Consolidated_Balance_Sheet_'!L24/'02_Consolidated_Historical_Data'!D7*365</f>
        <v>53.050153531218008</v>
      </c>
      <c r="E34" s="59">
        <f>'03_Consolidated_Balance_Sheet_'!M24/'02_Consolidated_Historical_Data'!E7*365</f>
        <v>69.559719263449153</v>
      </c>
      <c r="F34" s="59">
        <f>'03_Consolidated_Balance_Sheet_'!N24/'02_Consolidated_Historical_Data'!F7*365</f>
        <v>53.89855672019894</v>
      </c>
    </row>
    <row r="35" spans="1:6" x14ac:dyDescent="0.15">
      <c r="A35" s="18" t="s">
        <v>167</v>
      </c>
      <c r="B35" s="59">
        <f>B32+B33-B34</f>
        <v>12.549883274708762</v>
      </c>
      <c r="C35" s="59">
        <f t="shared" ref="C35:F35" si="1">C32+C33-C34</f>
        <v>7.8324126175124107</v>
      </c>
      <c r="D35" s="59">
        <f t="shared" si="1"/>
        <v>13.079334304385476</v>
      </c>
      <c r="E35" s="59">
        <f t="shared" si="1"/>
        <v>0.51912183615334584</v>
      </c>
      <c r="F35" s="59">
        <f t="shared" si="1"/>
        <v>22.595440072512616</v>
      </c>
    </row>
    <row r="36" spans="1:6" x14ac:dyDescent="0.15">
      <c r="A36" s="18" t="s">
        <v>168</v>
      </c>
      <c r="B36" s="35">
        <f>'03_Consolidated_Balance_Sheet_'!B19+'03_Consolidated_Balance_Sheet_'!B21-'03_Consolidated_Balance_Sheet_'!J24</f>
        <v>24066</v>
      </c>
      <c r="C36" s="35">
        <f>'03_Consolidated_Balance_Sheet_'!C19+'03_Consolidated_Balance_Sheet_'!C21-'03_Consolidated_Balance_Sheet_'!K24</f>
        <v>18820</v>
      </c>
      <c r="D36" s="35">
        <f>'03_Consolidated_Balance_Sheet_'!D19+'03_Consolidated_Balance_Sheet_'!D21-'03_Consolidated_Balance_Sheet_'!L24</f>
        <v>32769</v>
      </c>
      <c r="E36" s="35">
        <f>-('03_Consolidated_Balance_Sheet_'!E19+'03_Consolidated_Balance_Sheet_'!E21-'03_Consolidated_Balance_Sheet_'!M24)</f>
        <v>-1394</v>
      </c>
      <c r="F36" s="35">
        <f>'03_Consolidated_Balance_Sheet_'!F19+'03_Consolidated_Balance_Sheet_'!F21-'03_Consolidated_Balance_Sheet_'!N24</f>
        <v>66590</v>
      </c>
    </row>
    <row r="37" spans="1:6" x14ac:dyDescent="0.15">
      <c r="A37" s="18" t="s">
        <v>169</v>
      </c>
      <c r="B37" s="23">
        <f>B36/'02_Consolidated_Historical_Data'!B7</f>
        <v>3.4383241848517147E-2</v>
      </c>
      <c r="C37" s="23">
        <f>C36/'02_Consolidated_Historical_Data'!C7</f>
        <v>2.1458664705513462E-2</v>
      </c>
      <c r="D37" s="23">
        <f>D36/'02_Consolidated_Historical_Data'!D7</f>
        <v>3.5833792614754743E-2</v>
      </c>
      <c r="E37" s="26">
        <f>E36/'02_Consolidated_Historical_Data'!E7</f>
        <v>-1.4222516058995894E-3</v>
      </c>
      <c r="F37" s="23">
        <f>F36/'02_Consolidated_Historical_Data'!F7</f>
        <v>6.1905315267157833E-2</v>
      </c>
    </row>
    <row r="39" spans="1:6" ht="17" x14ac:dyDescent="0.15">
      <c r="A39" s="15" t="s">
        <v>170</v>
      </c>
      <c r="B39" s="15" t="s">
        <v>17</v>
      </c>
      <c r="C39" s="15" t="s">
        <v>18</v>
      </c>
      <c r="D39" s="15" t="s">
        <v>19</v>
      </c>
      <c r="E39" s="15" t="s">
        <v>20</v>
      </c>
      <c r="F39" s="15" t="s">
        <v>22</v>
      </c>
    </row>
    <row r="40" spans="1:6" x14ac:dyDescent="0.15">
      <c r="A40" s="18" t="s">
        <v>171</v>
      </c>
      <c r="B40" s="18">
        <f>'04_Consolidated_Cash_Flow'!B6+'04_Consolidated_Cash_Flow'!B8</f>
        <v>1492</v>
      </c>
      <c r="C40" s="18">
        <f>'04_Consolidated_Cash_Flow'!C6+'04_Consolidated_Cash_Flow'!C8</f>
        <v>22019</v>
      </c>
      <c r="D40" s="18">
        <f>'04_Consolidated_Cash_Flow'!D6+'04_Consolidated_Cash_Flow'!D8</f>
        <v>5905</v>
      </c>
      <c r="E40" s="18">
        <f>'04_Consolidated_Cash_Flow'!E6+'04_Consolidated_Cash_Flow'!E8</f>
        <v>38736</v>
      </c>
      <c r="F40" s="18">
        <f>'04_Consolidated_Cash_Flow'!F6+'04_Consolidated_Cash_Flow'!F8</f>
        <v>69197</v>
      </c>
    </row>
    <row r="41" spans="1:6" x14ac:dyDescent="0.15">
      <c r="A41" s="18" t="s">
        <v>172</v>
      </c>
      <c r="B41" s="23">
        <f>B40/'02_Consolidated_Historical_Data'!B7</f>
        <v>2.1316295536436291E-3</v>
      </c>
      <c r="C41" s="23">
        <f>C40/'02_Consolidated_Historical_Data'!C7</f>
        <v>2.510618162331036E-2</v>
      </c>
      <c r="D41" s="23">
        <f>D40/'02_Consolidated_Historical_Data'!D7</f>
        <v>6.4572780795912835E-3</v>
      </c>
      <c r="E41" s="23">
        <f>E40/'02_Consolidated_Historical_Data'!E7</f>
        <v>3.9521046058914273E-2</v>
      </c>
      <c r="F41" s="23">
        <f>F40/'02_Consolidated_Historical_Data'!F7</f>
        <v>6.4328909754340302E-2</v>
      </c>
    </row>
    <row r="42" spans="1:6" x14ac:dyDescent="0.15">
      <c r="A42" s="18" t="s">
        <v>173</v>
      </c>
      <c r="B42" s="23">
        <f>'04_Consolidated_Cash_Flow'!B6/'02_Consolidated_Historical_Data'!B16</f>
        <v>0.89465088451214381</v>
      </c>
      <c r="C42" s="23">
        <f>'04_Consolidated_Cash_Flow'!C6/'02_Consolidated_Historical_Data'!C16</f>
        <v>0.74727130977130973</v>
      </c>
      <c r="D42" s="23">
        <f>'04_Consolidated_Cash_Flow'!D6/'02_Consolidated_Historical_Data'!D16</f>
        <v>0.89061641146446802</v>
      </c>
      <c r="E42" s="23">
        <f>'04_Consolidated_Cash_Flow'!E6/'02_Consolidated_Historical_Data'!E16</f>
        <v>0.97427244278221803</v>
      </c>
      <c r="F42" s="23">
        <f>'04_Consolidated_Cash_Flow'!F6/'02_Consolidated_Historical_Data'!F16</f>
        <v>0.92401556435205445</v>
      </c>
    </row>
    <row r="43" spans="1:6" x14ac:dyDescent="0.15">
      <c r="A43" s="18" t="s">
        <v>174</v>
      </c>
      <c r="B43" s="23">
        <f>-'04_Consolidated_Cash_Flow'!B8/'02_Consolidated_Historical_Data'!B7</f>
        <v>0.15596041912523181</v>
      </c>
      <c r="C43" s="23">
        <f>-'04_Consolidated_Cash_Flow'!C8/'02_Consolidated_Historical_Data'!C7</f>
        <v>0.10604023784683622</v>
      </c>
      <c r="D43" s="23">
        <f>-'04_Consolidated_Cash_Flow'!D8/'02_Consolidated_Historical_Data'!D7</f>
        <v>0.16718171797496259</v>
      </c>
      <c r="E43" s="23">
        <f>-'04_Consolidated_Cash_Flow'!E8/'02_Consolidated_Historical_Data'!E7</f>
        <v>0.14280365173812615</v>
      </c>
      <c r="F43" s="23">
        <f>-'04_Consolidated_Cash_Flow'!F8/'02_Consolidated_Historical_Data'!F7</f>
        <v>0.11426871499291143</v>
      </c>
    </row>
    <row r="44" spans="1:6" x14ac:dyDescent="0.15">
      <c r="A44" s="18" t="s">
        <v>175</v>
      </c>
      <c r="B44" s="23">
        <f>B40/'04_Consolidated_Cash_Flow'!B6</f>
        <v>1.3483470999692736E-2</v>
      </c>
      <c r="C44" s="23">
        <f>C40/'04_Consolidated_Cash_Flow'!C6</f>
        <v>0.19143627195270388</v>
      </c>
      <c r="D44" s="23">
        <f>D40/'04_Consolidated_Cash_Flow'!D6</f>
        <v>3.7187948711489532E-2</v>
      </c>
      <c r="E44" s="23">
        <f>E40/'04_Consolidated_Cash_Flow'!E6</f>
        <v>0.21676188983956621</v>
      </c>
      <c r="F44" s="23">
        <f>F40/'04_Consolidated_Cash_Flow'!F6</f>
        <v>0.36018905539968665</v>
      </c>
    </row>
    <row r="46" spans="1:6" ht="17" x14ac:dyDescent="0.15">
      <c r="A46" s="15" t="s">
        <v>176</v>
      </c>
      <c r="B46" s="15" t="s">
        <v>17</v>
      </c>
      <c r="C46" s="15" t="s">
        <v>18</v>
      </c>
      <c r="D46" s="15" t="s">
        <v>19</v>
      </c>
      <c r="E46" s="15" t="s">
        <v>20</v>
      </c>
      <c r="F46" s="15" t="s">
        <v>22</v>
      </c>
    </row>
    <row r="47" spans="1:6" ht="17" customHeight="1" x14ac:dyDescent="0.15">
      <c r="A47" s="276" t="s">
        <v>177</v>
      </c>
      <c r="B47" s="276"/>
      <c r="C47" s="276"/>
      <c r="D47" s="276"/>
      <c r="E47" s="276"/>
      <c r="F47" s="276"/>
    </row>
    <row r="48" spans="1:6" x14ac:dyDescent="0.15">
      <c r="A48" s="6" t="s">
        <v>178</v>
      </c>
      <c r="B48" s="21">
        <f>'05_Segment_Historical_Raw_Data'!B7/('05_Segment_Historical_Raw_Data'!B7+'05_Segment_Historical_Raw_Data'!B21+'05_Segment_Historical_Raw_Data'!B35+'05_Segment_Historical_Raw_Data'!B48)</f>
        <v>0.65947334501871879</v>
      </c>
      <c r="C48" s="21">
        <f>'05_Segment_Historical_Raw_Data'!C7/('05_Segment_Historical_Raw_Data'!C7+'05_Segment_Historical_Raw_Data'!C21+'05_Segment_Historical_Raw_Data'!C35+'05_Segment_Historical_Raw_Data'!C48)</f>
        <v>0.61698990420130628</v>
      </c>
      <c r="D48" s="21">
        <f>'05_Segment_Historical_Raw_Data'!D7/('05_Segment_Historical_Raw_Data'!D7+'05_Segment_Historical_Raw_Data'!D21+'05_Segment_Historical_Raw_Data'!D35+'05_Segment_Historical_Raw_Data'!D48)</f>
        <v>0.54896568751816521</v>
      </c>
      <c r="E48" s="21">
        <f>'05_Segment_Historical_Raw_Data'!E7/('05_Segment_Historical_Raw_Data'!E7+'05_Segment_Historical_Raw_Data'!E21+'05_Segment_Historical_Raw_Data'!E35+'05_Segment_Historical_Raw_Data'!E48)</f>
        <v>0.55128764309343881</v>
      </c>
      <c r="F48" s="21">
        <f>'05_Segment_Historical_Raw_Data'!F7/('05_Segment_Historical_Raw_Data'!F7+'05_Segment_Historical_Raw_Data'!F21+'05_Segment_Historical_Raw_Data'!F35+'05_Segment_Historical_Raw_Data'!F48)</f>
        <v>0.53700453421169325</v>
      </c>
    </row>
    <row r="49" spans="1:6" x14ac:dyDescent="0.15">
      <c r="A49" s="6" t="s">
        <v>179</v>
      </c>
      <c r="B49" s="21">
        <f>'05_Segment_Historical_Raw_Data'!B21/('05_Segment_Historical_Raw_Data'!B7+'05_Segment_Historical_Raw_Data'!B21+'05_Segment_Historical_Raw_Data'!B35+'05_Segment_Historical_Raw_Data'!B48)</f>
        <v>0.10671134652435026</v>
      </c>
      <c r="C49" s="21">
        <f>'05_Segment_Historical_Raw_Data'!C21/('05_Segment_Historical_Raw_Data'!C7+'05_Segment_Historical_Raw_Data'!C21+'05_Segment_Historical_Raw_Data'!C35+'05_Segment_Historical_Raw_Data'!C48)</f>
        <v>0.11246770556070182</v>
      </c>
      <c r="D49" s="21">
        <f>'05_Segment_Historical_Raw_Data'!D21/('05_Segment_Historical_Raw_Data'!D7+'05_Segment_Historical_Raw_Data'!D21+'05_Segment_Historical_Raw_Data'!D35+'05_Segment_Historical_Raw_Data'!D48)</f>
        <v>0.12922271764498891</v>
      </c>
      <c r="E49" s="21">
        <f>'05_Segment_Historical_Raw_Data'!E21/('05_Segment_Historical_Raw_Data'!E7+'05_Segment_Historical_Raw_Data'!E21+'05_Segment_Historical_Raw_Data'!E35+'05_Segment_Historical_Raw_Data'!E48)</f>
        <v>0.13552568866877596</v>
      </c>
      <c r="F49" s="21">
        <f>'05_Segment_Historical_Raw_Data'!F21/('05_Segment_Historical_Raw_Data'!F7+'05_Segment_Historical_Raw_Data'!F21+'05_Segment_Historical_Raw_Data'!F35+'05_Segment_Historical_Raw_Data'!F48)</f>
        <v>0.14281510258116872</v>
      </c>
    </row>
    <row r="50" spans="1:6" x14ac:dyDescent="0.15">
      <c r="A50" s="6" t="s">
        <v>180</v>
      </c>
      <c r="B50" s="21">
        <f>'05_Segment_Historical_Raw_Data'!B35/('05_Segment_Historical_Raw_Data'!B7+'05_Segment_Historical_Raw_Data'!B21+'05_Segment_Historical_Raw_Data'!B35+'05_Segment_Historical_Raw_Data'!B48)</f>
        <v>0.22539776773772668</v>
      </c>
      <c r="C50" s="21">
        <f>'05_Segment_Historical_Raw_Data'!C35/('05_Segment_Historical_Raw_Data'!C7+'05_Segment_Historical_Raw_Data'!C21+'05_Segment_Historical_Raw_Data'!C35+'05_Segment_Historical_Raw_Data'!C48)</f>
        <v>0.25441178194950931</v>
      </c>
      <c r="D50" s="21">
        <f>'05_Segment_Historical_Raw_Data'!D35/('05_Segment_Historical_Raw_Data'!D7+'05_Segment_Historical_Raw_Data'!D21+'05_Segment_Historical_Raw_Data'!D35+'05_Segment_Historical_Raw_Data'!D48)</f>
        <v>0.29821210380354429</v>
      </c>
      <c r="E50" s="21">
        <f>'05_Segment_Historical_Raw_Data'!E35/('05_Segment_Historical_Raw_Data'!E7+'05_Segment_Historical_Raw_Data'!E21+'05_Segment_Historical_Raw_Data'!E35+'05_Segment_Historical_Raw_Data'!E48)</f>
        <v>0.29101718792044279</v>
      </c>
      <c r="F50" s="21">
        <f>'05_Segment_Historical_Raw_Data'!F35/('05_Segment_Historical_Raw_Data'!F7+'05_Segment_Historical_Raw_Data'!F21+'05_Segment_Historical_Raw_Data'!F35+'05_Segment_Historical_Raw_Data'!F48)</f>
        <v>0.30083639302770709</v>
      </c>
    </row>
    <row r="51" spans="1:6" x14ac:dyDescent="0.15">
      <c r="A51" s="6" t="s">
        <v>181</v>
      </c>
      <c r="B51" s="21">
        <f>'05_Segment_Historical_Raw_Data'!B48/('05_Segment_Historical_Raw_Data'!B48+'05_Segment_Historical_Raw_Data'!B35+'05_Segment_Historical_Raw_Data'!B21+'05_Segment_Historical_Raw_Data'!B7)</f>
        <v>8.4175407192042494E-3</v>
      </c>
      <c r="C51" s="21">
        <f>'05_Segment_Historical_Raw_Data'!C48/('05_Segment_Historical_Raw_Data'!C48+'05_Segment_Historical_Raw_Data'!C35+'05_Segment_Historical_Raw_Data'!C21+'05_Segment_Historical_Raw_Data'!C7)</f>
        <v>1.6130608288482659E-2</v>
      </c>
      <c r="D51" s="21">
        <f>'05_Segment_Historical_Raw_Data'!D48/('05_Segment_Historical_Raw_Data'!D48+'05_Segment_Historical_Raw_Data'!D35+'05_Segment_Historical_Raw_Data'!D21+'05_Segment_Historical_Raw_Data'!D7)</f>
        <v>2.3599491033301546E-2</v>
      </c>
      <c r="E51" s="21">
        <f>'05_Segment_Historical_Raw_Data'!E48/('05_Segment_Historical_Raw_Data'!E48+'05_Segment_Historical_Raw_Data'!E35+'05_Segment_Historical_Raw_Data'!E21+'05_Segment_Historical_Raw_Data'!E7)</f>
        <v>2.2169480317342512E-2</v>
      </c>
      <c r="F51" s="21">
        <f>'05_Segment_Historical_Raw_Data'!F48/('05_Segment_Historical_Raw_Data'!F48+'05_Segment_Historical_Raw_Data'!F35+'05_Segment_Historical_Raw_Data'!F21+'05_Segment_Historical_Raw_Data'!F7)</f>
        <v>1.934397017943091E-2</v>
      </c>
    </row>
    <row r="52" spans="1:6" x14ac:dyDescent="0.15">
      <c r="B52" s="19"/>
      <c r="C52" s="19"/>
      <c r="D52" s="19"/>
      <c r="E52" s="19"/>
      <c r="F52" s="19"/>
    </row>
    <row r="53" spans="1:6" ht="16" x14ac:dyDescent="0.15">
      <c r="A53" s="276" t="s">
        <v>182</v>
      </c>
      <c r="B53" s="276"/>
      <c r="C53" s="276"/>
      <c r="D53" s="276"/>
      <c r="E53" s="276"/>
      <c r="F53" s="276"/>
    </row>
    <row r="54" spans="1:6" x14ac:dyDescent="0.15">
      <c r="A54" s="6" t="s">
        <v>178</v>
      </c>
      <c r="B54" s="21">
        <f>'05_Segment_Historical_Raw_Data'!B9/('05_Segment_Historical_Raw_Data'!B9+'05_Segment_Historical_Raw_Data'!B24+'05_Segment_Historical_Raw_Data'!B37+'05_Segment_Historical_Raw_Data'!B49)</f>
        <v>0.57211800246149258</v>
      </c>
      <c r="C54" s="21">
        <f>'05_Segment_Historical_Raw_Data'!C9/('05_Segment_Historical_Raw_Data'!C9+'05_Segment_Historical_Raw_Data'!C24+'05_Segment_Historical_Raw_Data'!C37+'05_Segment_Historical_Raw_Data'!C49)</f>
        <v>0.43517059264395835</v>
      </c>
      <c r="D54" s="21">
        <f>'05_Segment_Historical_Raw_Data'!D9/('05_Segment_Historical_Raw_Data'!D9+'05_Segment_Historical_Raw_Data'!D24+'05_Segment_Historical_Raw_Data'!D37+'05_Segment_Historical_Raw_Data'!D49)</f>
        <v>0.38568629026774071</v>
      </c>
      <c r="E54" s="21">
        <f>'05_Segment_Historical_Raw_Data'!E9/('05_Segment_Historical_Raw_Data'!E9+'05_Segment_Historical_Raw_Data'!E24+'05_Segment_Historical_Raw_Data'!E37+'05_Segment_Historical_Raw_Data'!E49)</f>
        <v>0.33071311293009603</v>
      </c>
      <c r="F54" s="21">
        <f>'05_Segment_Historical_Raw_Data'!F9/('05_Segment_Historical_Raw_Data'!F9+'05_Segment_Historical_Raw_Data'!F24+'05_Segment_Historical_Raw_Data'!F37+'05_Segment_Historical_Raw_Data'!F49)</f>
        <v>0.33050930727659805</v>
      </c>
    </row>
    <row r="55" spans="1:6" x14ac:dyDescent="0.15">
      <c r="A55" s="6" t="s">
        <v>179</v>
      </c>
      <c r="B55" s="21">
        <f>'05_Segment_Historical_Raw_Data'!B24/('05_Segment_Historical_Raw_Data'!B24+'05_Segment_Historical_Raw_Data'!B37+'05_Segment_Historical_Raw_Data'!B49+'05_Segment_Historical_Raw_Data'!B9)</f>
        <v>0.29482713609070227</v>
      </c>
      <c r="C55" s="21">
        <f>'05_Segment_Historical_Raw_Data'!C24/('05_Segment_Historical_Raw_Data'!C24+'05_Segment_Historical_Raw_Data'!C37+'05_Segment_Historical_Raw_Data'!C49+'05_Segment_Historical_Raw_Data'!C9)</f>
        <v>0.34407110886969677</v>
      </c>
      <c r="D55" s="21">
        <f>'05_Segment_Historical_Raw_Data'!D24/('05_Segment_Historical_Raw_Data'!D24+'05_Segment_Historical_Raw_Data'!D37+'05_Segment_Historical_Raw_Data'!D49+'05_Segment_Historical_Raw_Data'!D9)</f>
        <v>0.35036257194255721</v>
      </c>
      <c r="E55" s="21">
        <f>'05_Segment_Historical_Raw_Data'!E24/('05_Segment_Historical_Raw_Data'!E24+'05_Segment_Historical_Raw_Data'!E37+'05_Segment_Historical_Raw_Data'!E49+'05_Segment_Historical_Raw_Data'!E9)</f>
        <v>0.39093407749998499</v>
      </c>
      <c r="F55" s="21">
        <f>'05_Segment_Historical_Raw_Data'!F24/('05_Segment_Historical_Raw_Data'!F24+'05_Segment_Historical_Raw_Data'!F37+'05_Segment_Historical_Raw_Data'!F49+'05_Segment_Historical_Raw_Data'!F9)</f>
        <v>0.41792674272613134</v>
      </c>
    </row>
    <row r="56" spans="1:6" x14ac:dyDescent="0.15">
      <c r="A56" s="6" t="s">
        <v>180</v>
      </c>
      <c r="B56" s="21">
        <f>'05_Segment_Historical_Raw_Data'!B37/('05_Segment_Historical_Raw_Data'!B37+'05_Segment_Historical_Raw_Data'!B24+'05_Segment_Historical_Raw_Data'!B49+'05_Segment_Historical_Raw_Data'!B9)</f>
        <v>9.2350725394398245E-2</v>
      </c>
      <c r="C56" s="21">
        <f>'05_Segment_Historical_Raw_Data'!C37/('05_Segment_Historical_Raw_Data'!C37+'05_Segment_Historical_Raw_Data'!C24+'05_Segment_Historical_Raw_Data'!C49+'05_Segment_Historical_Raw_Data'!C9)</f>
        <v>0.12557523797516232</v>
      </c>
      <c r="D56" s="21">
        <f>'05_Segment_Historical_Raw_Data'!D37/('05_Segment_Historical_Raw_Data'!D37+'05_Segment_Historical_Raw_Data'!D24+'05_Segment_Historical_Raw_Data'!D49+'05_Segment_Historical_Raw_Data'!D9)</f>
        <v>0.14243235390483491</v>
      </c>
      <c r="E56" s="21">
        <f>'05_Segment_Historical_Raw_Data'!E37/('05_Segment_Historical_Raw_Data'!E37+'05_Segment_Historical_Raw_Data'!E24+'05_Segment_Historical_Raw_Data'!E49+'05_Segment_Historical_Raw_Data'!E9)</f>
        <v>0.15092228951530934</v>
      </c>
      <c r="F56" s="21">
        <f>'05_Segment_Historical_Raw_Data'!F37/('05_Segment_Historical_Raw_Data'!F37+'05_Segment_Historical_Raw_Data'!F24+'05_Segment_Historical_Raw_Data'!F49+'05_Segment_Historical_Raw_Data'!F9)</f>
        <v>0.14757355750859763</v>
      </c>
    </row>
    <row r="57" spans="1:6" x14ac:dyDescent="0.15">
      <c r="A57" s="6" t="s">
        <v>181</v>
      </c>
      <c r="B57" s="21">
        <f>'05_Segment_Historical_Raw_Data'!B49/('05_Segment_Historical_Raw_Data'!B49+'05_Segment_Historical_Raw_Data'!B37+'05_Segment_Historical_Raw_Data'!B24+'05_Segment_Historical_Raw_Data'!B9)</f>
        <v>4.0704136053406927E-2</v>
      </c>
      <c r="C57" s="21">
        <f>'05_Segment_Historical_Raw_Data'!C49/('05_Segment_Historical_Raw_Data'!C49+'05_Segment_Historical_Raw_Data'!C37+'05_Segment_Historical_Raw_Data'!C24+'05_Segment_Historical_Raw_Data'!C9)</f>
        <v>9.5183060511182555E-2</v>
      </c>
      <c r="D57" s="21">
        <f>'05_Segment_Historical_Raw_Data'!D49/('05_Segment_Historical_Raw_Data'!D49+'05_Segment_Historical_Raw_Data'!D37+'05_Segment_Historical_Raw_Data'!D24+'05_Segment_Historical_Raw_Data'!D9)</f>
        <v>0.12151878388486718</v>
      </c>
      <c r="E57" s="21">
        <f>'05_Segment_Historical_Raw_Data'!E49/('05_Segment_Historical_Raw_Data'!E49+'05_Segment_Historical_Raw_Data'!E37+'05_Segment_Historical_Raw_Data'!E24+'05_Segment_Historical_Raw_Data'!E9)</f>
        <v>0.12743052005460964</v>
      </c>
      <c r="F57" s="21">
        <f>'05_Segment_Historical_Raw_Data'!F49/('05_Segment_Historical_Raw_Data'!F49+'05_Segment_Historical_Raw_Data'!F37+'05_Segment_Historical_Raw_Data'!F24+'05_Segment_Historical_Raw_Data'!F9)</f>
        <v>0.10399039248867296</v>
      </c>
    </row>
    <row r="58" spans="1:6" x14ac:dyDescent="0.15">
      <c r="B58" s="19"/>
      <c r="C58" s="19"/>
      <c r="D58" s="19"/>
      <c r="E58" s="19"/>
      <c r="F58" s="19"/>
    </row>
  </sheetData>
  <mergeCells count="2">
    <mergeCell ref="A47:F47"/>
    <mergeCell ref="A53:F5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A5C4-E302-3E43-9FD2-AEFAED3D8E9E}">
  <dimension ref="A1:I108"/>
  <sheetViews>
    <sheetView showGridLines="0" zoomScale="114" workbookViewId="0"/>
  </sheetViews>
  <sheetFormatPr baseColWidth="10" defaultRowHeight="13" x14ac:dyDescent="0.15"/>
  <cols>
    <col min="1" max="1" width="41" customWidth="1"/>
    <col min="2" max="2" width="11.6640625" customWidth="1"/>
    <col min="3" max="3" width="14.5" customWidth="1"/>
    <col min="4" max="4" width="12.6640625" customWidth="1"/>
    <col min="7" max="7" width="12.6640625" bestFit="1" customWidth="1"/>
    <col min="8" max="8" width="5.6640625" customWidth="1"/>
    <col min="9" max="9" width="81" bestFit="1" customWidth="1"/>
  </cols>
  <sheetData>
    <row r="1" spans="1:9" ht="19" x14ac:dyDescent="0.25">
      <c r="A1" s="9" t="s">
        <v>204</v>
      </c>
      <c r="B1" s="9"/>
    </row>
    <row r="2" spans="1:9" ht="26" customHeight="1" x14ac:dyDescent="0.2">
      <c r="A2" s="11" t="s">
        <v>423</v>
      </c>
      <c r="B2" s="11"/>
      <c r="C2" s="109" t="s">
        <v>410</v>
      </c>
      <c r="D2" s="197">
        <v>2</v>
      </c>
      <c r="E2" s="89" t="str">
        <f>CHOOSE(D2, "BULL CASE", "BASE CASE", "BEAR CASE")</f>
        <v>BASE CASE</v>
      </c>
    </row>
    <row r="4" spans="1:9" ht="17" x14ac:dyDescent="0.15">
      <c r="A4" s="15" t="s">
        <v>205</v>
      </c>
      <c r="B4" s="15" t="s">
        <v>206</v>
      </c>
      <c r="C4" s="15" t="s">
        <v>207</v>
      </c>
      <c r="D4" s="15" t="s">
        <v>208</v>
      </c>
      <c r="E4" s="15" t="s">
        <v>209</v>
      </c>
      <c r="F4" s="15" t="s">
        <v>210</v>
      </c>
      <c r="G4" s="15" t="s">
        <v>211</v>
      </c>
    </row>
    <row r="5" spans="1:9" x14ac:dyDescent="0.15">
      <c r="A5" s="273" t="s">
        <v>212</v>
      </c>
      <c r="B5" s="273"/>
      <c r="C5" s="273"/>
      <c r="D5" s="273"/>
      <c r="E5" s="273"/>
      <c r="F5" s="273"/>
      <c r="G5" s="273"/>
      <c r="I5" s="66" t="s">
        <v>21</v>
      </c>
    </row>
    <row r="6" spans="1:9" x14ac:dyDescent="0.15">
      <c r="A6" s="16" t="s">
        <v>218</v>
      </c>
      <c r="B6" s="43" t="s">
        <v>216</v>
      </c>
      <c r="C6" s="131">
        <v>25.17</v>
      </c>
      <c r="D6" s="131">
        <v>25.17</v>
      </c>
      <c r="E6" s="131">
        <v>25.17</v>
      </c>
      <c r="F6" s="131">
        <v>25.17</v>
      </c>
      <c r="G6" s="131">
        <v>25.17</v>
      </c>
      <c r="I6" s="6" t="s">
        <v>236</v>
      </c>
    </row>
    <row r="7" spans="1:9" ht="28" x14ac:dyDescent="0.15">
      <c r="A7" s="16" t="s">
        <v>411</v>
      </c>
      <c r="B7" s="67" t="s">
        <v>216</v>
      </c>
      <c r="C7" s="110">
        <f>CHOOSE($D$2,C8,C9,C10)</f>
        <v>10.5</v>
      </c>
      <c r="D7" s="110">
        <f t="shared" ref="D7:G7" si="0">CHOOSE($D$2,D8,D9,D10)</f>
        <v>10.5</v>
      </c>
      <c r="E7" s="110">
        <f t="shared" si="0"/>
        <v>10.5</v>
      </c>
      <c r="F7" s="110">
        <f t="shared" si="0"/>
        <v>10.5</v>
      </c>
      <c r="G7" s="110">
        <f t="shared" si="0"/>
        <v>10.5</v>
      </c>
      <c r="I7" s="17" t="s">
        <v>237</v>
      </c>
    </row>
    <row r="8" spans="1:9" x14ac:dyDescent="0.15">
      <c r="A8" s="6" t="s">
        <v>412</v>
      </c>
      <c r="B8" s="43" t="s">
        <v>216</v>
      </c>
      <c r="C8" s="131">
        <f>C9-0.75</f>
        <v>9.75</v>
      </c>
      <c r="D8" s="131">
        <f t="shared" ref="D8:G8" si="1">D9-0.75</f>
        <v>9.75</v>
      </c>
      <c r="E8" s="131">
        <f t="shared" si="1"/>
        <v>9.75</v>
      </c>
      <c r="F8" s="131">
        <f t="shared" si="1"/>
        <v>9.75</v>
      </c>
      <c r="G8" s="131">
        <f t="shared" si="1"/>
        <v>9.75</v>
      </c>
      <c r="I8" s="17"/>
    </row>
    <row r="9" spans="1:9" x14ac:dyDescent="0.15">
      <c r="A9" s="6" t="s">
        <v>413</v>
      </c>
      <c r="B9" s="61" t="s">
        <v>216</v>
      </c>
      <c r="C9" s="131">
        <v>10.5</v>
      </c>
      <c r="D9" s="131">
        <v>10.5</v>
      </c>
      <c r="E9" s="131">
        <v>10.5</v>
      </c>
      <c r="F9" s="131">
        <v>10.5</v>
      </c>
      <c r="G9" s="131">
        <v>10.5</v>
      </c>
      <c r="I9" s="17"/>
    </row>
    <row r="10" spans="1:9" x14ac:dyDescent="0.15">
      <c r="A10" s="6" t="s">
        <v>414</v>
      </c>
      <c r="B10" s="61" t="s">
        <v>216</v>
      </c>
      <c r="C10" s="131">
        <f>C9+0.75</f>
        <v>11.25</v>
      </c>
      <c r="D10" s="131">
        <f t="shared" ref="D10:G10" si="2">D9+0.75</f>
        <v>11.25</v>
      </c>
      <c r="E10" s="131">
        <f t="shared" si="2"/>
        <v>11.25</v>
      </c>
      <c r="F10" s="131">
        <f t="shared" si="2"/>
        <v>11.25</v>
      </c>
      <c r="G10" s="131">
        <f t="shared" si="2"/>
        <v>11.25</v>
      </c>
      <c r="I10" s="17"/>
    </row>
    <row r="11" spans="1:9" x14ac:dyDescent="0.15">
      <c r="A11" s="16" t="s">
        <v>415</v>
      </c>
      <c r="B11" s="67" t="s">
        <v>216</v>
      </c>
      <c r="C11" s="110">
        <f>CHOOSE($D$2,C12,C13,C14)</f>
        <v>5</v>
      </c>
      <c r="D11" s="110">
        <f>CHOOSE($D$2,D12,D13,D14)</f>
        <v>5</v>
      </c>
      <c r="E11" s="110">
        <f>CHOOSE($D$2,E12,E13,E14)</f>
        <v>5</v>
      </c>
      <c r="F11" s="110">
        <f>CHOOSE($D$2,F12,F13,F14)</f>
        <v>5</v>
      </c>
      <c r="G11" s="110">
        <f>CHOOSE($D$2,G12,G13,G14)</f>
        <v>5</v>
      </c>
      <c r="I11" s="6" t="s">
        <v>238</v>
      </c>
    </row>
    <row r="12" spans="1:9" x14ac:dyDescent="0.15">
      <c r="A12" s="6" t="s">
        <v>412</v>
      </c>
      <c r="B12" s="43" t="s">
        <v>216</v>
      </c>
      <c r="C12" s="132">
        <f>C13+0.5</f>
        <v>5.5</v>
      </c>
      <c r="D12" s="132">
        <f t="shared" ref="D12:G12" si="3">D13+0.5</f>
        <v>5.5</v>
      </c>
      <c r="E12" s="132">
        <f t="shared" si="3"/>
        <v>5.5</v>
      </c>
      <c r="F12" s="132">
        <f t="shared" si="3"/>
        <v>5.5</v>
      </c>
      <c r="G12" s="132">
        <f t="shared" si="3"/>
        <v>5.5</v>
      </c>
      <c r="I12" s="6"/>
    </row>
    <row r="13" spans="1:9" x14ac:dyDescent="0.15">
      <c r="A13" s="6" t="s">
        <v>413</v>
      </c>
      <c r="B13" s="43" t="s">
        <v>216</v>
      </c>
      <c r="C13" s="132">
        <f>C14+0.5</f>
        <v>5</v>
      </c>
      <c r="D13" s="132">
        <f t="shared" ref="D13:G13" si="4">D14+0.5</f>
        <v>5</v>
      </c>
      <c r="E13" s="132">
        <f t="shared" si="4"/>
        <v>5</v>
      </c>
      <c r="F13" s="132">
        <f t="shared" si="4"/>
        <v>5</v>
      </c>
      <c r="G13" s="132">
        <f t="shared" si="4"/>
        <v>5</v>
      </c>
      <c r="I13" s="6"/>
    </row>
    <row r="14" spans="1:9" x14ac:dyDescent="0.15">
      <c r="A14" s="6" t="s">
        <v>414</v>
      </c>
      <c r="B14" s="43" t="s">
        <v>216</v>
      </c>
      <c r="C14" s="132">
        <v>4.5</v>
      </c>
      <c r="D14" s="132">
        <v>4.5</v>
      </c>
      <c r="E14" s="132">
        <v>4.5</v>
      </c>
      <c r="F14" s="132">
        <v>4.5</v>
      </c>
      <c r="G14" s="132">
        <v>4.5</v>
      </c>
      <c r="I14" s="6"/>
    </row>
    <row r="15" spans="1:9" x14ac:dyDescent="0.15">
      <c r="A15" s="16" t="s">
        <v>512</v>
      </c>
      <c r="B15" s="67" t="s">
        <v>216</v>
      </c>
      <c r="C15" s="110">
        <f>CHOOSE($D$2,C16,C17,C18)</f>
        <v>-5</v>
      </c>
      <c r="D15" s="110">
        <f>CHOOSE($D$2,D16,D17,D18)</f>
        <v>-5</v>
      </c>
      <c r="E15" s="110">
        <f>CHOOSE($D$2,E16,E17,E18)</f>
        <v>-5</v>
      </c>
      <c r="F15" s="110">
        <f>CHOOSE($D$2,F16,F17,F18)</f>
        <v>-5</v>
      </c>
      <c r="G15" s="110">
        <f>CHOOSE($D$2,G16,G17,G18)</f>
        <v>-5</v>
      </c>
      <c r="I15" s="6"/>
    </row>
    <row r="16" spans="1:9" x14ac:dyDescent="0.15">
      <c r="A16" s="6" t="s">
        <v>412</v>
      </c>
      <c r="B16" s="43" t="s">
        <v>216</v>
      </c>
      <c r="C16" s="132">
        <f>C17+5</f>
        <v>0</v>
      </c>
      <c r="D16" s="132">
        <f t="shared" ref="D16:G16" si="5">D17+5</f>
        <v>0</v>
      </c>
      <c r="E16" s="132">
        <f t="shared" si="5"/>
        <v>0</v>
      </c>
      <c r="F16" s="132">
        <f t="shared" si="5"/>
        <v>0</v>
      </c>
      <c r="G16" s="132">
        <f t="shared" si="5"/>
        <v>0</v>
      </c>
      <c r="I16" s="6"/>
    </row>
    <row r="17" spans="1:9" x14ac:dyDescent="0.15">
      <c r="A17" s="6" t="s">
        <v>413</v>
      </c>
      <c r="B17" s="43" t="s">
        <v>216</v>
      </c>
      <c r="C17" s="132">
        <v>-5</v>
      </c>
      <c r="D17" s="132">
        <v>-5</v>
      </c>
      <c r="E17" s="132">
        <v>-5</v>
      </c>
      <c r="F17" s="132">
        <v>-5</v>
      </c>
      <c r="G17" s="132">
        <v>-5</v>
      </c>
      <c r="I17" s="6"/>
    </row>
    <row r="18" spans="1:9" x14ac:dyDescent="0.15">
      <c r="A18" s="6" t="s">
        <v>414</v>
      </c>
      <c r="B18" s="43" t="s">
        <v>216</v>
      </c>
      <c r="C18" s="132">
        <f>C17-5</f>
        <v>-10</v>
      </c>
      <c r="D18" s="132">
        <f t="shared" ref="D18:G18" si="6">D17-5</f>
        <v>-10</v>
      </c>
      <c r="E18" s="132">
        <f t="shared" si="6"/>
        <v>-10</v>
      </c>
      <c r="F18" s="132">
        <f t="shared" si="6"/>
        <v>-10</v>
      </c>
      <c r="G18" s="132">
        <f t="shared" si="6"/>
        <v>-10</v>
      </c>
      <c r="I18" s="6"/>
    </row>
    <row r="20" spans="1:9" x14ac:dyDescent="0.15">
      <c r="A20" s="273" t="s">
        <v>215</v>
      </c>
      <c r="B20" s="273"/>
      <c r="C20" s="273"/>
      <c r="D20" s="273"/>
      <c r="E20" s="273"/>
      <c r="F20" s="273"/>
      <c r="G20" s="273"/>
    </row>
    <row r="21" spans="1:9" ht="28" x14ac:dyDescent="0.15">
      <c r="A21" s="16" t="s">
        <v>421</v>
      </c>
      <c r="B21" s="67" t="s">
        <v>216</v>
      </c>
      <c r="C21" s="111">
        <f>CHOOSE($D$2,C22,C23,C24)</f>
        <v>3.5435396437771549E-2</v>
      </c>
      <c r="D21" s="111">
        <f t="shared" ref="D21:G21" si="7">CHOOSE($D$2,D22,D23,D24)</f>
        <v>3.5435396437771549E-2</v>
      </c>
      <c r="E21" s="111">
        <f t="shared" si="7"/>
        <v>3.5435396437771549E-2</v>
      </c>
      <c r="F21" s="111">
        <f t="shared" si="7"/>
        <v>3.5435396437771549E-2</v>
      </c>
      <c r="G21" s="111">
        <f t="shared" si="7"/>
        <v>3.5435396437771549E-2</v>
      </c>
      <c r="I21" s="17" t="s">
        <v>239</v>
      </c>
    </row>
    <row r="22" spans="1:9" x14ac:dyDescent="0.15">
      <c r="A22" s="6" t="s">
        <v>412</v>
      </c>
      <c r="B22" s="43" t="s">
        <v>216</v>
      </c>
      <c r="C22" s="19">
        <f>C23+1%</f>
        <v>4.5435396437771551E-2</v>
      </c>
      <c r="D22" s="19">
        <f t="shared" ref="D22:G22" si="8">D23+1%</f>
        <v>4.5435396437771551E-2</v>
      </c>
      <c r="E22" s="19">
        <f t="shared" si="8"/>
        <v>4.5435396437771551E-2</v>
      </c>
      <c r="F22" s="19">
        <f t="shared" si="8"/>
        <v>4.5435396437771551E-2</v>
      </c>
      <c r="G22" s="19">
        <f t="shared" si="8"/>
        <v>4.5435396437771551E-2</v>
      </c>
      <c r="I22" s="17"/>
    </row>
    <row r="23" spans="1:9" x14ac:dyDescent="0.15">
      <c r="A23" s="6" t="s">
        <v>413</v>
      </c>
      <c r="B23" s="43" t="s">
        <v>216</v>
      </c>
      <c r="C23" s="133">
        <f>AVERAGE('05_Segment_Historical_Raw_Data'!$C8:$F8)</f>
        <v>3.5435396437771549E-2</v>
      </c>
      <c r="D23" s="133">
        <f>AVERAGE('05_Segment_Historical_Raw_Data'!$C8:$F8)</f>
        <v>3.5435396437771549E-2</v>
      </c>
      <c r="E23" s="133">
        <f>AVERAGE('05_Segment_Historical_Raw_Data'!$C8:$F8)</f>
        <v>3.5435396437771549E-2</v>
      </c>
      <c r="F23" s="133">
        <f>AVERAGE('05_Segment_Historical_Raw_Data'!$C8:$F8)</f>
        <v>3.5435396437771549E-2</v>
      </c>
      <c r="G23" s="133">
        <f>AVERAGE('05_Segment_Historical_Raw_Data'!$C8:$F8)</f>
        <v>3.5435396437771549E-2</v>
      </c>
      <c r="I23" s="17"/>
    </row>
    <row r="24" spans="1:9" x14ac:dyDescent="0.15">
      <c r="A24" s="6" t="s">
        <v>414</v>
      </c>
      <c r="B24" s="43" t="s">
        <v>216</v>
      </c>
      <c r="C24" s="19">
        <f>C23-1%</f>
        <v>2.5435396437771547E-2</v>
      </c>
      <c r="D24" s="19">
        <f t="shared" ref="D24:G24" si="9">D23-1%</f>
        <v>2.5435396437771547E-2</v>
      </c>
      <c r="E24" s="19">
        <f t="shared" si="9"/>
        <v>2.5435396437771547E-2</v>
      </c>
      <c r="F24" s="19">
        <f t="shared" si="9"/>
        <v>2.5435396437771547E-2</v>
      </c>
      <c r="G24" s="19">
        <f t="shared" si="9"/>
        <v>2.5435396437771547E-2</v>
      </c>
      <c r="I24" s="17"/>
    </row>
    <row r="25" spans="1:9" x14ac:dyDescent="0.15">
      <c r="A25" s="16" t="s">
        <v>422</v>
      </c>
      <c r="B25" s="67" t="s">
        <v>216</v>
      </c>
      <c r="C25" s="111">
        <f>CHOOSE($D$2,C26,C27,C28)</f>
        <v>9.6995115218580563E-2</v>
      </c>
      <c r="D25" s="111">
        <f t="shared" ref="D25:G25" si="10">CHOOSE($D$2,D26,D27,D28)</f>
        <v>9.6995115218580563E-2</v>
      </c>
      <c r="E25" s="111">
        <f t="shared" si="10"/>
        <v>9.6995115218580563E-2</v>
      </c>
      <c r="F25" s="111">
        <f t="shared" si="10"/>
        <v>9.6995115218580563E-2</v>
      </c>
      <c r="G25" s="111">
        <f t="shared" si="10"/>
        <v>9.6995115218580563E-2</v>
      </c>
      <c r="I25" s="6" t="s">
        <v>240</v>
      </c>
    </row>
    <row r="26" spans="1:9" x14ac:dyDescent="0.15">
      <c r="A26" s="6" t="s">
        <v>412</v>
      </c>
      <c r="B26" s="43" t="s">
        <v>216</v>
      </c>
      <c r="C26" s="19">
        <f>C27+2%</f>
        <v>0.11699511521858057</v>
      </c>
      <c r="D26" s="19">
        <f t="shared" ref="D26:G26" si="11">D27+2%</f>
        <v>0.11699511521858057</v>
      </c>
      <c r="E26" s="19">
        <f t="shared" si="11"/>
        <v>0.11699511521858057</v>
      </c>
      <c r="F26" s="19">
        <f t="shared" si="11"/>
        <v>0.11699511521858057</v>
      </c>
      <c r="G26" s="19">
        <f t="shared" si="11"/>
        <v>0.11699511521858057</v>
      </c>
      <c r="I26" s="6"/>
    </row>
    <row r="27" spans="1:9" x14ac:dyDescent="0.15">
      <c r="A27" s="6" t="s">
        <v>413</v>
      </c>
      <c r="B27" s="43" t="s">
        <v>216</v>
      </c>
      <c r="C27" s="133">
        <f>AVERAGE('05_Segment_Historical_Raw_Data'!$C10:$F10)</f>
        <v>9.6995115218580563E-2</v>
      </c>
      <c r="D27" s="133">
        <f>AVERAGE('05_Segment_Historical_Raw_Data'!$C10:$F10)</f>
        <v>9.6995115218580563E-2</v>
      </c>
      <c r="E27" s="133">
        <f>AVERAGE('05_Segment_Historical_Raw_Data'!$C10:$F10)</f>
        <v>9.6995115218580563E-2</v>
      </c>
      <c r="F27" s="133">
        <f>AVERAGE('05_Segment_Historical_Raw_Data'!$C10:$F10)</f>
        <v>9.6995115218580563E-2</v>
      </c>
      <c r="G27" s="133">
        <f>AVERAGE('05_Segment_Historical_Raw_Data'!$C10:$F10)</f>
        <v>9.6995115218580563E-2</v>
      </c>
      <c r="I27" s="6"/>
    </row>
    <row r="28" spans="1:9" x14ac:dyDescent="0.15">
      <c r="A28" s="6" t="s">
        <v>414</v>
      </c>
      <c r="B28" s="43" t="s">
        <v>216</v>
      </c>
      <c r="C28" s="19">
        <f>C27-2%</f>
        <v>7.6995115218580559E-2</v>
      </c>
      <c r="D28" s="19">
        <f t="shared" ref="D28:G28" si="12">D27-2%</f>
        <v>7.6995115218580559E-2</v>
      </c>
      <c r="E28" s="19">
        <f t="shared" si="12"/>
        <v>7.6995115218580559E-2</v>
      </c>
      <c r="F28" s="19">
        <f t="shared" si="12"/>
        <v>7.6995115218580559E-2</v>
      </c>
      <c r="G28" s="19">
        <f t="shared" si="12"/>
        <v>7.6995115218580559E-2</v>
      </c>
      <c r="I28" s="6"/>
    </row>
    <row r="29" spans="1:9" x14ac:dyDescent="0.15">
      <c r="A29" s="16" t="s">
        <v>495</v>
      </c>
      <c r="B29" s="67" t="s">
        <v>493</v>
      </c>
      <c r="C29" s="110">
        <f>CHOOSE($D$2,C30,C31,C32)</f>
        <v>6.5</v>
      </c>
      <c r="D29" s="110">
        <f t="shared" ref="D29:G29" si="13">CHOOSE($D$2,D30,D31,D32)</f>
        <v>6.5</v>
      </c>
      <c r="E29" s="110">
        <f t="shared" si="13"/>
        <v>6.5</v>
      </c>
      <c r="F29" s="110">
        <f t="shared" si="13"/>
        <v>6.5</v>
      </c>
      <c r="G29" s="110">
        <f t="shared" si="13"/>
        <v>6.5</v>
      </c>
      <c r="I29" s="6" t="s">
        <v>761</v>
      </c>
    </row>
    <row r="30" spans="1:9" x14ac:dyDescent="0.15">
      <c r="A30" s="6" t="s">
        <v>412</v>
      </c>
      <c r="B30" s="61" t="s">
        <v>493</v>
      </c>
      <c r="C30" s="191">
        <f>C31+1</f>
        <v>7.5</v>
      </c>
      <c r="D30" s="191">
        <f t="shared" ref="D30:G30" si="14">D31+1</f>
        <v>7.5</v>
      </c>
      <c r="E30" s="191">
        <f t="shared" si="14"/>
        <v>7.5</v>
      </c>
      <c r="F30" s="191">
        <f t="shared" si="14"/>
        <v>7.5</v>
      </c>
      <c r="G30" s="191">
        <f t="shared" si="14"/>
        <v>7.5</v>
      </c>
      <c r="I30" s="6" t="s">
        <v>762</v>
      </c>
    </row>
    <row r="31" spans="1:9" x14ac:dyDescent="0.15">
      <c r="A31" s="6" t="s">
        <v>413</v>
      </c>
      <c r="B31" s="61" t="s">
        <v>493</v>
      </c>
      <c r="C31" s="191">
        <v>6.5</v>
      </c>
      <c r="D31" s="191">
        <v>6.5</v>
      </c>
      <c r="E31" s="191">
        <v>6.5</v>
      </c>
      <c r="F31" s="191">
        <v>6.5</v>
      </c>
      <c r="G31" s="191">
        <v>6.5</v>
      </c>
      <c r="I31" s="6" t="s">
        <v>763</v>
      </c>
    </row>
    <row r="32" spans="1:9" x14ac:dyDescent="0.15">
      <c r="A32" s="6" t="s">
        <v>414</v>
      </c>
      <c r="B32" s="61" t="s">
        <v>493</v>
      </c>
      <c r="C32" s="191">
        <f>C31-1</f>
        <v>5.5</v>
      </c>
      <c r="D32" s="191">
        <f t="shared" ref="D32:G32" si="15">D31-1</f>
        <v>5.5</v>
      </c>
      <c r="E32" s="191">
        <f t="shared" si="15"/>
        <v>5.5</v>
      </c>
      <c r="F32" s="191">
        <f t="shared" si="15"/>
        <v>5.5</v>
      </c>
      <c r="G32" s="191">
        <f t="shared" si="15"/>
        <v>5.5</v>
      </c>
      <c r="I32" s="6"/>
    </row>
    <row r="33" spans="1:9" x14ac:dyDescent="0.15">
      <c r="A33" s="6" t="s">
        <v>221</v>
      </c>
      <c r="B33" s="43" t="s">
        <v>216</v>
      </c>
      <c r="C33" s="19">
        <f>AVERAGE('05_Segment_Historical_Raw_Data'!$C12:$F12)</f>
        <v>8.2568641325029737E-2</v>
      </c>
      <c r="D33" s="19">
        <f>AVERAGE('05_Segment_Historical_Raw_Data'!$C12:$F12)</f>
        <v>8.2568641325029737E-2</v>
      </c>
      <c r="E33" s="19">
        <f>AVERAGE('05_Segment_Historical_Raw_Data'!$C12:$F12)</f>
        <v>8.2568641325029737E-2</v>
      </c>
      <c r="F33" s="19">
        <f>AVERAGE('05_Segment_Historical_Raw_Data'!$C12:$F12)</f>
        <v>8.2568641325029737E-2</v>
      </c>
      <c r="G33" s="19">
        <f>AVERAGE('05_Segment_Historical_Raw_Data'!$C12:$F12)</f>
        <v>8.2568641325029737E-2</v>
      </c>
      <c r="I33" s="6" t="s">
        <v>241</v>
      </c>
    </row>
    <row r="34" spans="1:9" x14ac:dyDescent="0.15">
      <c r="A34" s="16" t="s">
        <v>416</v>
      </c>
      <c r="B34" s="67" t="s">
        <v>230</v>
      </c>
      <c r="C34" s="110">
        <f>CHOOSE($D$2,C35,C36,C37)</f>
        <v>10.780000000000001</v>
      </c>
      <c r="D34" s="110">
        <f t="shared" ref="D34:G34" si="16">CHOOSE($D$2,D35,D36,D37)</f>
        <v>10.780000000000001</v>
      </c>
      <c r="E34" s="110">
        <f t="shared" si="16"/>
        <v>10.780000000000001</v>
      </c>
      <c r="F34" s="110">
        <f t="shared" si="16"/>
        <v>10.780000000000001</v>
      </c>
      <c r="G34" s="110">
        <f t="shared" si="16"/>
        <v>10.780000000000001</v>
      </c>
      <c r="I34" s="6" t="s">
        <v>242</v>
      </c>
    </row>
    <row r="35" spans="1:9" x14ac:dyDescent="0.15">
      <c r="A35" s="6" t="s">
        <v>412</v>
      </c>
      <c r="B35" s="61" t="s">
        <v>230</v>
      </c>
      <c r="C35" s="92">
        <f>C36+2.25</f>
        <v>13.030000000000001</v>
      </c>
      <c r="D35" s="92">
        <f t="shared" ref="D35:G35" si="17">D36+2.25</f>
        <v>13.030000000000001</v>
      </c>
      <c r="E35" s="92">
        <f t="shared" si="17"/>
        <v>13.030000000000001</v>
      </c>
      <c r="F35" s="92">
        <f t="shared" si="17"/>
        <v>13.030000000000001</v>
      </c>
      <c r="G35" s="92">
        <f t="shared" si="17"/>
        <v>13.030000000000001</v>
      </c>
      <c r="I35" s="6"/>
    </row>
    <row r="36" spans="1:9" x14ac:dyDescent="0.15">
      <c r="A36" s="6" t="s">
        <v>413</v>
      </c>
      <c r="B36" s="61" t="s">
        <v>230</v>
      </c>
      <c r="C36" s="134">
        <f>AVERAGE('05_Segment_Historical_Raw_Data'!$B17:$F17)</f>
        <v>10.780000000000001</v>
      </c>
      <c r="D36" s="134">
        <f>AVERAGE('05_Segment_Historical_Raw_Data'!$B17:$F17)</f>
        <v>10.780000000000001</v>
      </c>
      <c r="E36" s="134">
        <f>AVERAGE('05_Segment_Historical_Raw_Data'!$B17:$F17)</f>
        <v>10.780000000000001</v>
      </c>
      <c r="F36" s="134">
        <f>AVERAGE('05_Segment_Historical_Raw_Data'!$B17:$F17)</f>
        <v>10.780000000000001</v>
      </c>
      <c r="G36" s="134">
        <f>AVERAGE('05_Segment_Historical_Raw_Data'!$B17:$F17)</f>
        <v>10.780000000000001</v>
      </c>
      <c r="I36" s="6"/>
    </row>
    <row r="37" spans="1:9" x14ac:dyDescent="0.15">
      <c r="A37" s="6" t="s">
        <v>414</v>
      </c>
      <c r="B37" s="61" t="s">
        <v>230</v>
      </c>
      <c r="C37" s="92">
        <f>C36-2.25</f>
        <v>8.5300000000000011</v>
      </c>
      <c r="D37" s="92">
        <f t="shared" ref="D37:G37" si="18">D36-2.25</f>
        <v>8.5300000000000011</v>
      </c>
      <c r="E37" s="92">
        <f t="shared" si="18"/>
        <v>8.5300000000000011</v>
      </c>
      <c r="F37" s="92">
        <f t="shared" si="18"/>
        <v>8.5300000000000011</v>
      </c>
      <c r="G37" s="92">
        <f t="shared" si="18"/>
        <v>8.5300000000000011</v>
      </c>
      <c r="I37" s="6"/>
    </row>
    <row r="38" spans="1:9" x14ac:dyDescent="0.15">
      <c r="A38" s="16" t="s">
        <v>424</v>
      </c>
      <c r="B38" s="67" t="s">
        <v>216</v>
      </c>
      <c r="C38" s="111">
        <f>CHOOSE($D$2,C39,C40,C41)</f>
        <v>4.8860131551733771E-2</v>
      </c>
      <c r="D38" s="111">
        <f t="shared" ref="D38:G38" si="19">CHOOSE($D$2,D39,D40,D41)</f>
        <v>4.8860131551733771E-2</v>
      </c>
      <c r="E38" s="111">
        <f t="shared" si="19"/>
        <v>4.8860131551733771E-2</v>
      </c>
      <c r="F38" s="111">
        <f t="shared" si="19"/>
        <v>4.8860131551733771E-2</v>
      </c>
      <c r="G38" s="111">
        <f t="shared" si="19"/>
        <v>4.8860131551733771E-2</v>
      </c>
      <c r="I38" s="6" t="s">
        <v>243</v>
      </c>
    </row>
    <row r="39" spans="1:9" x14ac:dyDescent="0.15">
      <c r="A39" s="6" t="s">
        <v>412</v>
      </c>
      <c r="B39" s="43" t="s">
        <v>216</v>
      </c>
      <c r="C39" s="19">
        <f>C40+1%</f>
        <v>5.8860131551733773E-2</v>
      </c>
      <c r="D39" s="19">
        <f t="shared" ref="D39:G39" si="20">D40+1%</f>
        <v>5.8860131551733773E-2</v>
      </c>
      <c r="E39" s="19">
        <f t="shared" si="20"/>
        <v>5.8860131551733773E-2</v>
      </c>
      <c r="F39" s="19">
        <f t="shared" si="20"/>
        <v>5.8860131551733773E-2</v>
      </c>
      <c r="G39" s="19">
        <f t="shared" si="20"/>
        <v>5.8860131551733773E-2</v>
      </c>
      <c r="I39" s="6"/>
    </row>
    <row r="40" spans="1:9" x14ac:dyDescent="0.15">
      <c r="A40" s="6" t="s">
        <v>413</v>
      </c>
      <c r="B40" s="43" t="s">
        <v>216</v>
      </c>
      <c r="C40" s="133">
        <f>'05_Segment_Historical_Raw_Data'!$F13/'05_Segment_Historical_Raw_Data'!$F7</f>
        <v>4.8860131551733771E-2</v>
      </c>
      <c r="D40" s="133">
        <f>'05_Segment_Historical_Raw_Data'!$F13/'05_Segment_Historical_Raw_Data'!$F7</f>
        <v>4.8860131551733771E-2</v>
      </c>
      <c r="E40" s="133">
        <f>'05_Segment_Historical_Raw_Data'!$F13/'05_Segment_Historical_Raw_Data'!$F7</f>
        <v>4.8860131551733771E-2</v>
      </c>
      <c r="F40" s="133">
        <f>'05_Segment_Historical_Raw_Data'!$F13/'05_Segment_Historical_Raw_Data'!$F7</f>
        <v>4.8860131551733771E-2</v>
      </c>
      <c r="G40" s="133">
        <f>'05_Segment_Historical_Raw_Data'!$F13/'05_Segment_Historical_Raw_Data'!$F7</f>
        <v>4.8860131551733771E-2</v>
      </c>
      <c r="I40" s="6"/>
    </row>
    <row r="41" spans="1:9" x14ac:dyDescent="0.15">
      <c r="A41" s="6" t="s">
        <v>414</v>
      </c>
      <c r="B41" s="43" t="s">
        <v>216</v>
      </c>
      <c r="C41" s="19">
        <f>C40-1%</f>
        <v>3.8860131551733769E-2</v>
      </c>
      <c r="D41" s="19">
        <f t="shared" ref="D41:G41" si="21">D40-1%</f>
        <v>3.8860131551733769E-2</v>
      </c>
      <c r="E41" s="19">
        <f t="shared" si="21"/>
        <v>3.8860131551733769E-2</v>
      </c>
      <c r="F41" s="19">
        <f t="shared" si="21"/>
        <v>3.8860131551733769E-2</v>
      </c>
      <c r="G41" s="19">
        <f t="shared" si="21"/>
        <v>3.8860131551733769E-2</v>
      </c>
      <c r="I41" s="6"/>
    </row>
    <row r="43" spans="1:9" x14ac:dyDescent="0.15">
      <c r="A43" s="273" t="s">
        <v>217</v>
      </c>
      <c r="B43" s="273"/>
      <c r="C43" s="273"/>
      <c r="D43" s="273"/>
      <c r="E43" s="273"/>
      <c r="F43" s="273"/>
      <c r="G43" s="273"/>
    </row>
    <row r="44" spans="1:9" ht="29" customHeight="1" x14ac:dyDescent="0.15">
      <c r="A44" s="6" t="s">
        <v>220</v>
      </c>
      <c r="B44" s="43" t="s">
        <v>216</v>
      </c>
      <c r="C44" s="135">
        <f>(1+C57)*(1+C61) -1</f>
        <v>0.14173925333946569</v>
      </c>
      <c r="D44" s="135">
        <f t="shared" ref="D44:G44" si="22">(1+D57)*(1+D61) -1</f>
        <v>0.12578926826379688</v>
      </c>
      <c r="E44" s="135">
        <f t="shared" si="22"/>
        <v>0.10993928318812785</v>
      </c>
      <c r="F44" s="135">
        <f t="shared" si="22"/>
        <v>9.4189298112459019E-2</v>
      </c>
      <c r="G44" s="135">
        <f t="shared" si="22"/>
        <v>7.8539313036789959E-2</v>
      </c>
      <c r="I44" s="17" t="s">
        <v>231</v>
      </c>
    </row>
    <row r="45" spans="1:9" x14ac:dyDescent="0.15">
      <c r="A45" s="16" t="s">
        <v>425</v>
      </c>
      <c r="B45" s="67" t="s">
        <v>216</v>
      </c>
      <c r="C45" s="111">
        <f>CHOOSE($D$2,C46,C47,C48)</f>
        <v>0.49660000000000004</v>
      </c>
      <c r="D45" s="111">
        <f t="shared" ref="D45:G45" si="23">CHOOSE($D$2,D46,D47,D48)</f>
        <v>0.50160000000000005</v>
      </c>
      <c r="E45" s="111">
        <f t="shared" si="23"/>
        <v>0.50660000000000005</v>
      </c>
      <c r="F45" s="111">
        <f t="shared" si="23"/>
        <v>0.51160000000000005</v>
      </c>
      <c r="G45" s="111">
        <f t="shared" si="23"/>
        <v>0.51660000000000006</v>
      </c>
      <c r="I45" s="6" t="s">
        <v>232</v>
      </c>
    </row>
    <row r="46" spans="1:9" x14ac:dyDescent="0.15">
      <c r="A46" s="6" t="s">
        <v>412</v>
      </c>
      <c r="B46" s="43" t="s">
        <v>216</v>
      </c>
      <c r="C46" s="19">
        <f>C47+2%</f>
        <v>0.51660000000000006</v>
      </c>
      <c r="D46" s="19">
        <f t="shared" ref="D46:G46" si="24">D47+2%</f>
        <v>0.52160000000000006</v>
      </c>
      <c r="E46" s="19">
        <f t="shared" si="24"/>
        <v>0.52660000000000007</v>
      </c>
      <c r="F46" s="19">
        <f t="shared" si="24"/>
        <v>0.53160000000000007</v>
      </c>
      <c r="G46" s="19">
        <f t="shared" si="24"/>
        <v>0.53660000000000008</v>
      </c>
      <c r="I46" s="6"/>
    </row>
    <row r="47" spans="1:9" x14ac:dyDescent="0.15">
      <c r="A47" s="6" t="s">
        <v>413</v>
      </c>
      <c r="B47" s="43" t="s">
        <v>216</v>
      </c>
      <c r="C47" s="133">
        <f>AVERAGE('05_Segment_Historical_Raw_Data'!B25:F25)</f>
        <v>0.49660000000000004</v>
      </c>
      <c r="D47" s="133">
        <f>C47+0.5%</f>
        <v>0.50160000000000005</v>
      </c>
      <c r="E47" s="133">
        <f t="shared" ref="E47:G47" si="25">D47+0.5%</f>
        <v>0.50660000000000005</v>
      </c>
      <c r="F47" s="133">
        <f t="shared" si="25"/>
        <v>0.51160000000000005</v>
      </c>
      <c r="G47" s="133">
        <f t="shared" si="25"/>
        <v>0.51660000000000006</v>
      </c>
      <c r="I47" s="6"/>
    </row>
    <row r="48" spans="1:9" x14ac:dyDescent="0.15">
      <c r="A48" s="6" t="s">
        <v>414</v>
      </c>
      <c r="B48" s="43" t="s">
        <v>216</v>
      </c>
      <c r="C48" s="19">
        <f>C47-2%</f>
        <v>0.47660000000000002</v>
      </c>
      <c r="D48" s="19">
        <f t="shared" ref="D48:G48" si="26">D47-2%</f>
        <v>0.48160000000000003</v>
      </c>
      <c r="E48" s="19">
        <f t="shared" si="26"/>
        <v>0.48660000000000003</v>
      </c>
      <c r="F48" s="19">
        <f t="shared" si="26"/>
        <v>0.49160000000000004</v>
      </c>
      <c r="G48" s="19">
        <f t="shared" si="26"/>
        <v>0.49660000000000004</v>
      </c>
      <c r="I48" s="6"/>
    </row>
    <row r="49" spans="1:9" x14ac:dyDescent="0.15">
      <c r="A49" s="16" t="s">
        <v>492</v>
      </c>
      <c r="B49" s="67" t="s">
        <v>493</v>
      </c>
      <c r="C49" s="110">
        <f>CHOOSE($D$2,C50,C51,C52)</f>
        <v>15</v>
      </c>
      <c r="D49" s="110">
        <f t="shared" ref="D49:G49" si="27">CHOOSE($D$2,D50,D51,D52)</f>
        <v>15</v>
      </c>
      <c r="E49" s="110">
        <f t="shared" si="27"/>
        <v>15</v>
      </c>
      <c r="F49" s="110">
        <f t="shared" si="27"/>
        <v>15</v>
      </c>
      <c r="G49" s="110">
        <f t="shared" si="27"/>
        <v>15</v>
      </c>
      <c r="I49" s="6" t="s">
        <v>755</v>
      </c>
    </row>
    <row r="50" spans="1:9" x14ac:dyDescent="0.15">
      <c r="A50" s="6" t="s">
        <v>412</v>
      </c>
      <c r="B50" s="61" t="s">
        <v>493</v>
      </c>
      <c r="C50" s="191">
        <f>C51+2</f>
        <v>17</v>
      </c>
      <c r="D50" s="191">
        <f t="shared" ref="D50:G50" si="28">D51+2</f>
        <v>17</v>
      </c>
      <c r="E50" s="191">
        <f t="shared" si="28"/>
        <v>17</v>
      </c>
      <c r="F50" s="191">
        <f t="shared" si="28"/>
        <v>17</v>
      </c>
      <c r="G50" s="191">
        <f t="shared" si="28"/>
        <v>17</v>
      </c>
      <c r="I50" s="6" t="s">
        <v>756</v>
      </c>
    </row>
    <row r="51" spans="1:9" x14ac:dyDescent="0.15">
      <c r="A51" s="6" t="s">
        <v>413</v>
      </c>
      <c r="B51" s="61" t="s">
        <v>493</v>
      </c>
      <c r="C51" s="191">
        <v>15</v>
      </c>
      <c r="D51" s="191">
        <v>15</v>
      </c>
      <c r="E51" s="191">
        <v>15</v>
      </c>
      <c r="F51" s="191">
        <v>15</v>
      </c>
      <c r="G51" s="191">
        <v>15</v>
      </c>
      <c r="I51" s="6" t="s">
        <v>757</v>
      </c>
    </row>
    <row r="52" spans="1:9" x14ac:dyDescent="0.15">
      <c r="A52" s="6" t="s">
        <v>414</v>
      </c>
      <c r="B52" s="61" t="s">
        <v>493</v>
      </c>
      <c r="C52" s="191">
        <f>C51-2</f>
        <v>13</v>
      </c>
      <c r="D52" s="191">
        <f t="shared" ref="D52:G52" si="29">D51-2</f>
        <v>13</v>
      </c>
      <c r="E52" s="191">
        <f t="shared" si="29"/>
        <v>13</v>
      </c>
      <c r="F52" s="191">
        <f t="shared" si="29"/>
        <v>13</v>
      </c>
      <c r="G52" s="191">
        <f t="shared" si="29"/>
        <v>13</v>
      </c>
      <c r="I52" s="6"/>
    </row>
    <row r="53" spans="1:9" x14ac:dyDescent="0.15">
      <c r="A53" s="16" t="s">
        <v>424</v>
      </c>
      <c r="B53" s="67" t="s">
        <v>216</v>
      </c>
      <c r="C53" s="111">
        <f>CHOOSE($D$2,C54,C55,C56)</f>
        <v>0.17881065370904384</v>
      </c>
      <c r="D53" s="111">
        <f t="shared" ref="D53:G53" si="30">CHOOSE($D$2,D54,D55,D56)</f>
        <v>0.16881065370904383</v>
      </c>
      <c r="E53" s="111">
        <f t="shared" si="30"/>
        <v>0.15881065370904382</v>
      </c>
      <c r="F53" s="111">
        <f t="shared" si="30"/>
        <v>0.14881065370904381</v>
      </c>
      <c r="G53" s="111">
        <f t="shared" si="30"/>
        <v>0.1388106537090438</v>
      </c>
      <c r="I53" s="6" t="s">
        <v>233</v>
      </c>
    </row>
    <row r="54" spans="1:9" x14ac:dyDescent="0.15">
      <c r="A54" s="6" t="s">
        <v>412</v>
      </c>
      <c r="B54" s="43" t="s">
        <v>216</v>
      </c>
      <c r="C54" s="21">
        <f>C55-2%</f>
        <v>0.15881065370904385</v>
      </c>
      <c r="D54" s="21">
        <f t="shared" ref="D54:G54" si="31">D55-2%</f>
        <v>0.14881065370904384</v>
      </c>
      <c r="E54" s="21">
        <f t="shared" si="31"/>
        <v>0.13881065370904383</v>
      </c>
      <c r="F54" s="21">
        <f t="shared" si="31"/>
        <v>0.12881065370904382</v>
      </c>
      <c r="G54" s="21">
        <f t="shared" si="31"/>
        <v>0.1188106537090438</v>
      </c>
      <c r="I54" s="6"/>
    </row>
    <row r="55" spans="1:9" x14ac:dyDescent="0.15">
      <c r="A55" s="6" t="s">
        <v>413</v>
      </c>
      <c r="B55" s="43" t="s">
        <v>216</v>
      </c>
      <c r="C55" s="133">
        <f>'05_Segment_Historical_Raw_Data'!F28/'05_Segment_Historical_Raw_Data'!F21</f>
        <v>0.17881065370904384</v>
      </c>
      <c r="D55" s="133">
        <f>C55-1%</f>
        <v>0.16881065370904383</v>
      </c>
      <c r="E55" s="133">
        <f>D55-1%</f>
        <v>0.15881065370904382</v>
      </c>
      <c r="F55" s="133">
        <f>E55-1%</f>
        <v>0.14881065370904381</v>
      </c>
      <c r="G55" s="133">
        <f>F55-1%</f>
        <v>0.1388106537090438</v>
      </c>
      <c r="I55" s="6"/>
    </row>
    <row r="56" spans="1:9" x14ac:dyDescent="0.15">
      <c r="A56" s="6" t="s">
        <v>414</v>
      </c>
      <c r="B56" s="43" t="s">
        <v>216</v>
      </c>
      <c r="C56" s="21">
        <f>C55+2%</f>
        <v>0.19881065370904383</v>
      </c>
      <c r="D56" s="21">
        <f t="shared" ref="D56:G56" si="32">D55+2%</f>
        <v>0.18881065370904382</v>
      </c>
      <c r="E56" s="21">
        <f t="shared" si="32"/>
        <v>0.17881065370904381</v>
      </c>
      <c r="F56" s="21">
        <f t="shared" si="32"/>
        <v>0.1688106537090438</v>
      </c>
      <c r="G56" s="21">
        <f t="shared" si="32"/>
        <v>0.15881065370904379</v>
      </c>
      <c r="I56" s="6"/>
    </row>
    <row r="57" spans="1:9" x14ac:dyDescent="0.15">
      <c r="A57" s="111" t="s">
        <v>417</v>
      </c>
      <c r="B57" s="112" t="s">
        <v>216</v>
      </c>
      <c r="C57" s="111">
        <f>CHOOSE($D$2,C58,C59,C60)</f>
        <v>7.4149938549774586E-2</v>
      </c>
      <c r="D57" s="111">
        <f t="shared" ref="D57:G57" si="33">CHOOSE($D$2,D58,D59,D60)</f>
        <v>6.4149938549774591E-2</v>
      </c>
      <c r="E57" s="111">
        <f t="shared" si="33"/>
        <v>5.4149938549774589E-2</v>
      </c>
      <c r="F57" s="111">
        <f t="shared" si="33"/>
        <v>4.4149938549774587E-2</v>
      </c>
      <c r="G57" s="111">
        <f t="shared" si="33"/>
        <v>3.4149938549774585E-2</v>
      </c>
      <c r="I57" s="6" t="s">
        <v>234</v>
      </c>
    </row>
    <row r="58" spans="1:9" x14ac:dyDescent="0.15">
      <c r="A58" s="6" t="s">
        <v>412</v>
      </c>
      <c r="B58" s="43" t="s">
        <v>216</v>
      </c>
      <c r="C58" s="21">
        <f>C59+2%</f>
        <v>9.4149938549774589E-2</v>
      </c>
      <c r="D58" s="21">
        <f t="shared" ref="D58:G58" si="34">D59+2%</f>
        <v>8.4149938549774594E-2</v>
      </c>
      <c r="E58" s="21">
        <f t="shared" si="34"/>
        <v>7.4149938549774586E-2</v>
      </c>
      <c r="F58" s="21">
        <f t="shared" si="34"/>
        <v>6.4149938549774591E-2</v>
      </c>
      <c r="G58" s="21">
        <f t="shared" si="34"/>
        <v>5.4149938549774582E-2</v>
      </c>
      <c r="I58" s="6"/>
    </row>
    <row r="59" spans="1:9" x14ac:dyDescent="0.15">
      <c r="A59" s="6" t="s">
        <v>413</v>
      </c>
      <c r="B59" s="43" t="s">
        <v>216</v>
      </c>
      <c r="C59" s="133">
        <f>'05_Segment_Historical_Raw_Data'!F30/'05_Segment_Historical_Raw_Data'!E30-1</f>
        <v>7.4149938549774586E-2</v>
      </c>
      <c r="D59" s="133">
        <f>C59-1%</f>
        <v>6.4149938549774591E-2</v>
      </c>
      <c r="E59" s="133">
        <f t="shared" ref="E59:G59" si="35">D59-1%</f>
        <v>5.4149938549774589E-2</v>
      </c>
      <c r="F59" s="133">
        <f t="shared" si="35"/>
        <v>4.4149938549774587E-2</v>
      </c>
      <c r="G59" s="133">
        <f t="shared" si="35"/>
        <v>3.4149938549774585E-2</v>
      </c>
      <c r="I59" s="6"/>
    </row>
    <row r="60" spans="1:9" x14ac:dyDescent="0.15">
      <c r="A60" s="6" t="s">
        <v>414</v>
      </c>
      <c r="B60" s="43" t="s">
        <v>216</v>
      </c>
      <c r="C60" s="21">
        <f>C59-2%</f>
        <v>5.4149938549774582E-2</v>
      </c>
      <c r="D60" s="21">
        <f t="shared" ref="D60:G60" si="36">D59-2%</f>
        <v>4.4149938549774587E-2</v>
      </c>
      <c r="E60" s="21">
        <f t="shared" si="36"/>
        <v>3.4149938549774592E-2</v>
      </c>
      <c r="F60" s="21">
        <f t="shared" si="36"/>
        <v>2.4149938549774586E-2</v>
      </c>
      <c r="G60" s="21">
        <f t="shared" si="36"/>
        <v>1.4149938549774584E-2</v>
      </c>
      <c r="I60" s="6"/>
    </row>
    <row r="61" spans="1:9" x14ac:dyDescent="0.15">
      <c r="A61" s="16" t="s">
        <v>418</v>
      </c>
      <c r="B61" s="67" t="s">
        <v>216</v>
      </c>
      <c r="C61" s="111">
        <f>CHOOSE($D$2,C62,C63,C64)</f>
        <v>6.2923538292004588E-2</v>
      </c>
      <c r="D61" s="111">
        <f t="shared" ref="D61:G61" si="37">CHOOSE($D$2,D62,D63,D64)</f>
        <v>5.7923538292004591E-2</v>
      </c>
      <c r="E61" s="111">
        <f t="shared" si="37"/>
        <v>5.2923538292004593E-2</v>
      </c>
      <c r="F61" s="111">
        <f t="shared" si="37"/>
        <v>4.7923538292004596E-2</v>
      </c>
      <c r="G61" s="111">
        <f t="shared" si="37"/>
        <v>4.2923538292004598E-2</v>
      </c>
      <c r="I61" s="6" t="s">
        <v>235</v>
      </c>
    </row>
    <row r="62" spans="1:9" x14ac:dyDescent="0.15">
      <c r="A62" s="6" t="s">
        <v>412</v>
      </c>
      <c r="B62" s="43" t="s">
        <v>216</v>
      </c>
      <c r="C62" s="21">
        <f>C63+2%</f>
        <v>8.2923538292004592E-2</v>
      </c>
      <c r="D62" s="21">
        <f t="shared" ref="D62:G62" si="38">D63+2%</f>
        <v>7.7923538292004588E-2</v>
      </c>
      <c r="E62" s="21">
        <f t="shared" si="38"/>
        <v>7.2923538292004597E-2</v>
      </c>
      <c r="F62" s="21">
        <f t="shared" si="38"/>
        <v>6.7923538292004593E-2</v>
      </c>
      <c r="G62" s="21">
        <f t="shared" si="38"/>
        <v>6.2923538292004602E-2</v>
      </c>
      <c r="I62" s="6"/>
    </row>
    <row r="63" spans="1:9" x14ac:dyDescent="0.15">
      <c r="A63" s="6" t="s">
        <v>413</v>
      </c>
      <c r="B63" s="43" t="s">
        <v>216</v>
      </c>
      <c r="C63" s="133">
        <f>AVERAGE('05_Segment_Historical_Raw_Data'!F31/'05_Segment_Historical_Raw_Data'!C31)^(1/3)-1</f>
        <v>6.2923538292004588E-2</v>
      </c>
      <c r="D63" s="133">
        <f>C63-0.5%</f>
        <v>5.7923538292004591E-2</v>
      </c>
      <c r="E63" s="133">
        <f t="shared" ref="E63:G63" si="39">D63-0.5%</f>
        <v>5.2923538292004593E-2</v>
      </c>
      <c r="F63" s="133">
        <f t="shared" si="39"/>
        <v>4.7923538292004596E-2</v>
      </c>
      <c r="G63" s="133">
        <f t="shared" si="39"/>
        <v>4.2923538292004598E-2</v>
      </c>
      <c r="I63" s="6"/>
    </row>
    <row r="64" spans="1:9" x14ac:dyDescent="0.15">
      <c r="A64" s="6" t="s">
        <v>414</v>
      </c>
      <c r="B64" s="43" t="s">
        <v>216</v>
      </c>
      <c r="C64" s="21">
        <f>C63-2%</f>
        <v>4.2923538292004584E-2</v>
      </c>
      <c r="D64" s="21">
        <f t="shared" ref="D64:G64" si="40">D63-2%</f>
        <v>3.7923538292004594E-2</v>
      </c>
      <c r="E64" s="21">
        <f t="shared" si="40"/>
        <v>3.2923538292004589E-2</v>
      </c>
      <c r="F64" s="21">
        <f t="shared" si="40"/>
        <v>2.7923538292004595E-2</v>
      </c>
      <c r="G64" s="21">
        <f t="shared" si="40"/>
        <v>2.2923538292004598E-2</v>
      </c>
      <c r="I64" s="6"/>
    </row>
    <row r="66" spans="1:9" x14ac:dyDescent="0.15">
      <c r="A66" s="273" t="s">
        <v>223</v>
      </c>
      <c r="B66" s="273"/>
      <c r="C66" s="273"/>
      <c r="D66" s="273"/>
      <c r="E66" s="273"/>
      <c r="F66" s="273"/>
      <c r="G66" s="273"/>
    </row>
    <row r="67" spans="1:9" x14ac:dyDescent="0.15">
      <c r="A67" s="16" t="s">
        <v>426</v>
      </c>
      <c r="B67" s="67" t="s">
        <v>216</v>
      </c>
      <c r="C67" s="111">
        <f>CHOOSE($D$2,C68,C69,C70)</f>
        <v>0.13404571569941903</v>
      </c>
      <c r="D67" s="111">
        <f t="shared" ref="D67:G67" si="41">CHOOSE($D$2,D68,D69,D70)</f>
        <v>0.12404571569941904</v>
      </c>
      <c r="E67" s="111">
        <f t="shared" si="41"/>
        <v>0.11404571569941904</v>
      </c>
      <c r="F67" s="111">
        <f t="shared" si="41"/>
        <v>0.10404571569941905</v>
      </c>
      <c r="G67" s="111">
        <f t="shared" si="41"/>
        <v>9.4045715699419052E-2</v>
      </c>
      <c r="I67" s="6" t="s">
        <v>244</v>
      </c>
    </row>
    <row r="68" spans="1:9" x14ac:dyDescent="0.15">
      <c r="A68" s="6" t="s">
        <v>412</v>
      </c>
      <c r="B68" s="43" t="s">
        <v>216</v>
      </c>
      <c r="C68" s="21">
        <f>C69+2%</f>
        <v>0.15404571569941902</v>
      </c>
      <c r="D68" s="21">
        <f t="shared" ref="D68:G68" si="42">D69+2%</f>
        <v>0.14404571569941904</v>
      </c>
      <c r="E68" s="21">
        <f t="shared" si="42"/>
        <v>0.13404571569941903</v>
      </c>
      <c r="F68" s="21">
        <f t="shared" si="42"/>
        <v>0.12404571569941905</v>
      </c>
      <c r="G68" s="21">
        <f t="shared" si="42"/>
        <v>0.11404571569941906</v>
      </c>
      <c r="I68" s="6"/>
    </row>
    <row r="69" spans="1:9" x14ac:dyDescent="0.15">
      <c r="A69" s="6" t="s">
        <v>413</v>
      </c>
      <c r="B69" s="43" t="s">
        <v>216</v>
      </c>
      <c r="C69" s="133">
        <f>('05_Segment_Historical_Raw_Data'!F36/'05_Segment_Historical_Raw_Data'!B36)^(1/5)-1</f>
        <v>0.13404571569941903</v>
      </c>
      <c r="D69" s="133">
        <f>C69-1%</f>
        <v>0.12404571569941904</v>
      </c>
      <c r="E69" s="133">
        <f t="shared" ref="E69:G69" si="43">D69-1%</f>
        <v>0.11404571569941904</v>
      </c>
      <c r="F69" s="133">
        <f t="shared" si="43"/>
        <v>0.10404571569941905</v>
      </c>
      <c r="G69" s="133">
        <f t="shared" si="43"/>
        <v>9.4045715699419052E-2</v>
      </c>
      <c r="I69" s="6"/>
    </row>
    <row r="70" spans="1:9" x14ac:dyDescent="0.15">
      <c r="A70" s="6" t="s">
        <v>414</v>
      </c>
      <c r="B70" s="43" t="s">
        <v>216</v>
      </c>
      <c r="C70" s="21">
        <f>C69-2%</f>
        <v>0.11404571569941903</v>
      </c>
      <c r="D70" s="21">
        <f t="shared" ref="D70:G70" si="44">D69-2%</f>
        <v>0.10404571569941903</v>
      </c>
      <c r="E70" s="21">
        <f t="shared" si="44"/>
        <v>9.4045715699419039E-2</v>
      </c>
      <c r="F70" s="21">
        <f t="shared" si="44"/>
        <v>8.4045715699419044E-2</v>
      </c>
      <c r="G70" s="21">
        <f t="shared" si="44"/>
        <v>7.4045715699419049E-2</v>
      </c>
      <c r="I70" s="6"/>
    </row>
    <row r="71" spans="1:9" x14ac:dyDescent="0.15">
      <c r="A71" s="16" t="s">
        <v>425</v>
      </c>
      <c r="B71" s="67" t="s">
        <v>216</v>
      </c>
      <c r="C71" s="111">
        <f>CHOOSE($D$2,C72,C73,C74)</f>
        <v>8.0270473263765157E-2</v>
      </c>
      <c r="D71" s="111">
        <f t="shared" ref="D71:G71" si="45">CHOOSE($D$2,D72,D73,D74)</f>
        <v>8.5270473263765162E-2</v>
      </c>
      <c r="E71" s="111">
        <f t="shared" si="45"/>
        <v>9.0270473263765166E-2</v>
      </c>
      <c r="F71" s="111">
        <f t="shared" si="45"/>
        <v>9.5270473263765171E-2</v>
      </c>
      <c r="G71" s="111">
        <f t="shared" si="45"/>
        <v>0.10027047326376518</v>
      </c>
      <c r="I71" s="6" t="s">
        <v>245</v>
      </c>
    </row>
    <row r="72" spans="1:9" x14ac:dyDescent="0.15">
      <c r="A72" s="6" t="s">
        <v>412</v>
      </c>
      <c r="B72" s="43" t="s">
        <v>216</v>
      </c>
      <c r="C72" s="19">
        <f>C73+1.5%</f>
        <v>9.5270473263765157E-2</v>
      </c>
      <c r="D72" s="19">
        <f t="shared" ref="D72:G72" si="46">D73+1.5%</f>
        <v>0.10027047326376516</v>
      </c>
      <c r="E72" s="19">
        <f t="shared" si="46"/>
        <v>0.10527047326376517</v>
      </c>
      <c r="F72" s="19">
        <f t="shared" si="46"/>
        <v>0.11027047326376517</v>
      </c>
      <c r="G72" s="19">
        <f t="shared" si="46"/>
        <v>0.11527047326376517</v>
      </c>
      <c r="I72" s="6"/>
    </row>
    <row r="73" spans="1:9" x14ac:dyDescent="0.15">
      <c r="A73" s="6" t="s">
        <v>413</v>
      </c>
      <c r="B73" s="43" t="s">
        <v>216</v>
      </c>
      <c r="C73" s="133">
        <f>AVERAGE('05_Segment_Historical_Raw_Data'!B38:F38)</f>
        <v>8.0270473263765157E-2</v>
      </c>
      <c r="D73" s="133">
        <f>C73+0.5%</f>
        <v>8.5270473263765162E-2</v>
      </c>
      <c r="E73" s="133">
        <f t="shared" ref="E73:G73" si="47">D73+0.5%</f>
        <v>9.0270473263765166E-2</v>
      </c>
      <c r="F73" s="133">
        <f t="shared" si="47"/>
        <v>9.5270473263765171E-2</v>
      </c>
      <c r="G73" s="133">
        <f t="shared" si="47"/>
        <v>0.10027047326376518</v>
      </c>
      <c r="I73" s="6"/>
    </row>
    <row r="74" spans="1:9" x14ac:dyDescent="0.15">
      <c r="A74" s="6" t="s">
        <v>414</v>
      </c>
      <c r="B74" s="43" t="s">
        <v>216</v>
      </c>
      <c r="C74" s="19">
        <f>C73-1.5%</f>
        <v>6.5270473263765158E-2</v>
      </c>
      <c r="D74" s="19">
        <f t="shared" ref="D74:G74" si="48">D73-1.5%</f>
        <v>7.0270473263765162E-2</v>
      </c>
      <c r="E74" s="19">
        <f t="shared" si="48"/>
        <v>7.5270473263765167E-2</v>
      </c>
      <c r="F74" s="19">
        <f t="shared" si="48"/>
        <v>8.0270473263765171E-2</v>
      </c>
      <c r="G74" s="19">
        <f t="shared" si="48"/>
        <v>8.5270473263765176E-2</v>
      </c>
      <c r="I74" s="6"/>
    </row>
    <row r="75" spans="1:9" x14ac:dyDescent="0.15">
      <c r="A75" s="16" t="s">
        <v>494</v>
      </c>
      <c r="B75" s="67" t="s">
        <v>493</v>
      </c>
      <c r="C75" s="110">
        <f>CHOOSE($D$2,C76,C77,C78)</f>
        <v>22</v>
      </c>
      <c r="D75" s="110">
        <f t="shared" ref="D75:G75" si="49">CHOOSE($D$2,D76,D77,D78)</f>
        <v>22</v>
      </c>
      <c r="E75" s="110">
        <f t="shared" si="49"/>
        <v>22</v>
      </c>
      <c r="F75" s="110">
        <f t="shared" si="49"/>
        <v>22</v>
      </c>
      <c r="G75" s="110">
        <f t="shared" si="49"/>
        <v>22</v>
      </c>
      <c r="I75" s="6" t="s">
        <v>758</v>
      </c>
    </row>
    <row r="76" spans="1:9" x14ac:dyDescent="0.15">
      <c r="A76" s="6" t="s">
        <v>412</v>
      </c>
      <c r="B76" s="61" t="s">
        <v>493</v>
      </c>
      <c r="C76" s="191">
        <f>C77+4</f>
        <v>26</v>
      </c>
      <c r="D76" s="191">
        <f t="shared" ref="D76:G76" si="50">D77+4</f>
        <v>26</v>
      </c>
      <c r="E76" s="191">
        <f t="shared" si="50"/>
        <v>26</v>
      </c>
      <c r="F76" s="191">
        <f t="shared" si="50"/>
        <v>26</v>
      </c>
      <c r="G76" s="191">
        <f t="shared" si="50"/>
        <v>26</v>
      </c>
      <c r="I76" s="6" t="s">
        <v>759</v>
      </c>
    </row>
    <row r="77" spans="1:9" x14ac:dyDescent="0.15">
      <c r="A77" s="6" t="s">
        <v>413</v>
      </c>
      <c r="B77" s="61" t="s">
        <v>493</v>
      </c>
      <c r="C77" s="191">
        <v>22</v>
      </c>
      <c r="D77" s="191">
        <v>22</v>
      </c>
      <c r="E77" s="191">
        <v>22</v>
      </c>
      <c r="F77" s="191">
        <v>22</v>
      </c>
      <c r="G77" s="191">
        <v>22</v>
      </c>
      <c r="I77" s="6" t="s">
        <v>760</v>
      </c>
    </row>
    <row r="78" spans="1:9" x14ac:dyDescent="0.15">
      <c r="A78" s="6" t="s">
        <v>414</v>
      </c>
      <c r="B78" s="61" t="s">
        <v>493</v>
      </c>
      <c r="C78" s="191">
        <f>C77-4</f>
        <v>18</v>
      </c>
      <c r="D78" s="191">
        <f t="shared" ref="D78:G78" si="51">D77-4</f>
        <v>18</v>
      </c>
      <c r="E78" s="191">
        <f t="shared" si="51"/>
        <v>18</v>
      </c>
      <c r="F78" s="191">
        <f t="shared" si="51"/>
        <v>18</v>
      </c>
      <c r="G78" s="191">
        <f t="shared" si="51"/>
        <v>18</v>
      </c>
      <c r="I78" s="6"/>
    </row>
    <row r="79" spans="1:9" x14ac:dyDescent="0.15">
      <c r="A79" s="6" t="s">
        <v>222</v>
      </c>
      <c r="B79" s="43" t="s">
        <v>216</v>
      </c>
      <c r="C79" s="133">
        <f>AVERAGE('05_Segment_Historical_Raw_Data'!F41/'05_Segment_Historical_Raw_Data'!F36,'05_Segment_Historical_Raw_Data'!E41/'05_Segment_Historical_Raw_Data'!E36,'05_Segment_Historical_Raw_Data'!D41/'05_Segment_Historical_Raw_Data'!D36)</f>
        <v>7.0645664067460409E-2</v>
      </c>
      <c r="D79" s="133">
        <f>C79-0.5%</f>
        <v>6.5645664067460405E-2</v>
      </c>
      <c r="E79" s="133">
        <f t="shared" ref="E79:G79" si="52">D79-0.5%</f>
        <v>6.0645664067460407E-2</v>
      </c>
      <c r="F79" s="133">
        <f t="shared" si="52"/>
        <v>5.564566406746041E-2</v>
      </c>
      <c r="G79" s="133">
        <f t="shared" si="52"/>
        <v>5.0645664067460412E-2</v>
      </c>
      <c r="I79" s="6" t="s">
        <v>246</v>
      </c>
    </row>
    <row r="80" spans="1:9" x14ac:dyDescent="0.15">
      <c r="A80" s="16" t="s">
        <v>419</v>
      </c>
      <c r="B80" s="67" t="s">
        <v>224</v>
      </c>
      <c r="C80" s="113">
        <f>CHOOSE($D$2,C81,C82,C83)</f>
        <v>662</v>
      </c>
      <c r="D80" s="113">
        <f t="shared" ref="D80:G80" si="53">CHOOSE($D$2,D81,D82,D83)</f>
        <v>612</v>
      </c>
      <c r="E80" s="113">
        <f t="shared" si="53"/>
        <v>562</v>
      </c>
      <c r="F80" s="113">
        <f t="shared" si="53"/>
        <v>512</v>
      </c>
      <c r="G80" s="113">
        <f t="shared" si="53"/>
        <v>462</v>
      </c>
      <c r="I80" s="6" t="s">
        <v>247</v>
      </c>
    </row>
    <row r="81" spans="1:9" x14ac:dyDescent="0.15">
      <c r="A81" s="6" t="s">
        <v>412</v>
      </c>
      <c r="B81" s="43" t="s">
        <v>224</v>
      </c>
      <c r="C81" s="83">
        <f>C82+200</f>
        <v>862</v>
      </c>
      <c r="D81" s="83">
        <f t="shared" ref="D81:G81" si="54">D82+200</f>
        <v>812</v>
      </c>
      <c r="E81" s="83">
        <f t="shared" si="54"/>
        <v>762</v>
      </c>
      <c r="F81" s="83">
        <f t="shared" si="54"/>
        <v>712</v>
      </c>
      <c r="G81" s="83">
        <f t="shared" si="54"/>
        <v>662</v>
      </c>
      <c r="I81" s="6"/>
    </row>
    <row r="82" spans="1:9" x14ac:dyDescent="0.15">
      <c r="A82" s="6" t="s">
        <v>413</v>
      </c>
      <c r="B82" s="43" t="s">
        <v>224</v>
      </c>
      <c r="C82" s="136">
        <f>AVERAGE('05_Segment_Historical_Raw_Data'!F44-'05_Segment_Historical_Raw_Data'!E44,'05_Segment_Historical_Raw_Data'!E44-'05_Segment_Historical_Raw_Data'!D44)</f>
        <v>662</v>
      </c>
      <c r="D82" s="136">
        <f>C82-50</f>
        <v>612</v>
      </c>
      <c r="E82" s="136">
        <f t="shared" ref="E82:G82" si="55">D82-50</f>
        <v>562</v>
      </c>
      <c r="F82" s="136">
        <f t="shared" si="55"/>
        <v>512</v>
      </c>
      <c r="G82" s="136">
        <f t="shared" si="55"/>
        <v>462</v>
      </c>
      <c r="I82" s="6"/>
    </row>
    <row r="83" spans="1:9" x14ac:dyDescent="0.15">
      <c r="A83" s="6" t="s">
        <v>414</v>
      </c>
      <c r="B83" s="43" t="s">
        <v>224</v>
      </c>
      <c r="C83" s="83">
        <f>C82-200</f>
        <v>462</v>
      </c>
      <c r="D83" s="83">
        <f t="shared" ref="D83:G83" si="56">D82-200</f>
        <v>412</v>
      </c>
      <c r="E83" s="83">
        <f t="shared" si="56"/>
        <v>362</v>
      </c>
      <c r="F83" s="83">
        <f t="shared" si="56"/>
        <v>312</v>
      </c>
      <c r="G83" s="83">
        <f t="shared" si="56"/>
        <v>262</v>
      </c>
      <c r="I83" s="6"/>
    </row>
    <row r="85" spans="1:9" x14ac:dyDescent="0.15">
      <c r="A85" s="273" t="s">
        <v>57</v>
      </c>
      <c r="B85" s="273"/>
      <c r="C85" s="273"/>
      <c r="D85" s="273"/>
      <c r="E85" s="273"/>
      <c r="F85" s="273"/>
      <c r="G85" s="273"/>
    </row>
    <row r="86" spans="1:9" x14ac:dyDescent="0.15">
      <c r="A86" s="16" t="s">
        <v>426</v>
      </c>
      <c r="B86" s="67" t="s">
        <v>216</v>
      </c>
      <c r="C86" s="111">
        <f>CHOOSE($D$2,C87,C88,C89)</f>
        <v>7.6462328743636565E-2</v>
      </c>
      <c r="D86" s="111">
        <f t="shared" ref="D86:G86" si="57">CHOOSE($D$2,D87,D88,D89)</f>
        <v>6.8962328743636558E-2</v>
      </c>
      <c r="E86" s="111">
        <f t="shared" si="57"/>
        <v>6.1462328743636559E-2</v>
      </c>
      <c r="F86" s="111">
        <f t="shared" si="57"/>
        <v>5.3962328743636559E-2</v>
      </c>
      <c r="G86" s="111">
        <f t="shared" si="57"/>
        <v>4.6462328743636559E-2</v>
      </c>
      <c r="I86" s="6" t="s">
        <v>250</v>
      </c>
    </row>
    <row r="87" spans="1:9" x14ac:dyDescent="0.15">
      <c r="A87" s="6" t="s">
        <v>412</v>
      </c>
      <c r="B87" s="43" t="s">
        <v>216</v>
      </c>
      <c r="C87" s="21">
        <f>+C88+1.5%</f>
        <v>9.1462328743636565E-2</v>
      </c>
      <c r="D87" s="21">
        <f t="shared" ref="D87:G87" si="58">+D88+1.5%</f>
        <v>8.3962328743636558E-2</v>
      </c>
      <c r="E87" s="21">
        <f t="shared" si="58"/>
        <v>7.6462328743636565E-2</v>
      </c>
      <c r="F87" s="21">
        <f t="shared" si="58"/>
        <v>6.8962328743636558E-2</v>
      </c>
      <c r="G87" s="21">
        <f t="shared" si="58"/>
        <v>6.1462328743636559E-2</v>
      </c>
      <c r="I87" s="6"/>
    </row>
    <row r="88" spans="1:9" x14ac:dyDescent="0.15">
      <c r="A88" s="6" t="s">
        <v>413</v>
      </c>
      <c r="B88" s="43" t="s">
        <v>216</v>
      </c>
      <c r="C88" s="133">
        <f>('05_Segment_Historical_Raw_Data'!F48/'05_Segment_Historical_Raw_Data'!C48)^(1/5)-1</f>
        <v>7.6462328743636565E-2</v>
      </c>
      <c r="D88" s="133">
        <f>C88-0.75%</f>
        <v>6.8962328743636558E-2</v>
      </c>
      <c r="E88" s="133">
        <f>D88-0.75%</f>
        <v>6.1462328743636559E-2</v>
      </c>
      <c r="F88" s="133">
        <f>E88-0.75%</f>
        <v>5.3962328743636559E-2</v>
      </c>
      <c r="G88" s="133">
        <f t="shared" ref="G88" si="59">F88-0.75%</f>
        <v>4.6462328743636559E-2</v>
      </c>
      <c r="I88" s="6"/>
    </row>
    <row r="89" spans="1:9" x14ac:dyDescent="0.15">
      <c r="A89" s="6" t="s">
        <v>414</v>
      </c>
      <c r="B89" s="43" t="s">
        <v>216</v>
      </c>
      <c r="C89" s="21">
        <f>C88-1.5%</f>
        <v>6.1462328743636566E-2</v>
      </c>
      <c r="D89" s="21">
        <f t="shared" ref="D89:G89" si="60">D88-1.5%</f>
        <v>5.3962328743636559E-2</v>
      </c>
      <c r="E89" s="21">
        <f t="shared" si="60"/>
        <v>4.6462328743636559E-2</v>
      </c>
      <c r="F89" s="21">
        <f t="shared" si="60"/>
        <v>3.896232874363656E-2</v>
      </c>
      <c r="G89" s="21">
        <f t="shared" si="60"/>
        <v>3.146232874363656E-2</v>
      </c>
      <c r="I89" s="6"/>
    </row>
    <row r="90" spans="1:9" x14ac:dyDescent="0.15">
      <c r="A90" s="16" t="s">
        <v>425</v>
      </c>
      <c r="B90" s="67" t="s">
        <v>216</v>
      </c>
      <c r="C90" s="111">
        <f>CHOOSE($D$2,C91,C92,C93)</f>
        <v>0.80066758610570188</v>
      </c>
      <c r="D90" s="111">
        <f t="shared" ref="D90:G90" si="61">CHOOSE($D$2,D91,D92,D93)</f>
        <v>0.79566758610570187</v>
      </c>
      <c r="E90" s="111">
        <f t="shared" si="61"/>
        <v>0.79066758610570187</v>
      </c>
      <c r="F90" s="111">
        <f t="shared" si="61"/>
        <v>0.78566758610570187</v>
      </c>
      <c r="G90" s="111">
        <f t="shared" si="61"/>
        <v>0.78066758610570186</v>
      </c>
      <c r="I90" s="6" t="s">
        <v>251</v>
      </c>
    </row>
    <row r="91" spans="1:9" x14ac:dyDescent="0.15">
      <c r="A91" s="6" t="s">
        <v>412</v>
      </c>
      <c r="B91" s="43" t="s">
        <v>216</v>
      </c>
      <c r="C91" s="19">
        <f>+C92+1.5%</f>
        <v>0.81566758610570189</v>
      </c>
      <c r="D91" s="19">
        <f t="shared" ref="D91:G91" si="62">+D92+1.5%</f>
        <v>0.81066758610570189</v>
      </c>
      <c r="E91" s="19">
        <f t="shared" si="62"/>
        <v>0.80566758610570188</v>
      </c>
      <c r="F91" s="19">
        <f t="shared" si="62"/>
        <v>0.80066758610570188</v>
      </c>
      <c r="G91" s="19">
        <f t="shared" si="62"/>
        <v>0.79566758610570187</v>
      </c>
      <c r="I91" s="6"/>
    </row>
    <row r="92" spans="1:9" x14ac:dyDescent="0.15">
      <c r="A92" s="6" t="s">
        <v>413</v>
      </c>
      <c r="B92" s="43" t="s">
        <v>216</v>
      </c>
      <c r="C92" s="133">
        <f>AVERAGE('05_Segment_Historical_Raw_Data'!B50:F50)</f>
        <v>0.80066758610570188</v>
      </c>
      <c r="D92" s="133">
        <f>C92-0.5%</f>
        <v>0.79566758610570187</v>
      </c>
      <c r="E92" s="133">
        <f t="shared" ref="E92:G92" si="63">D92-0.5%</f>
        <v>0.79066758610570187</v>
      </c>
      <c r="F92" s="133">
        <f t="shared" si="63"/>
        <v>0.78566758610570187</v>
      </c>
      <c r="G92" s="133">
        <f t="shared" si="63"/>
        <v>0.78066758610570186</v>
      </c>
      <c r="I92" s="6"/>
    </row>
    <row r="93" spans="1:9" x14ac:dyDescent="0.15">
      <c r="A93" s="6" t="s">
        <v>414</v>
      </c>
      <c r="B93" s="43" t="s">
        <v>216</v>
      </c>
      <c r="C93" s="19">
        <f>C92-1.5%</f>
        <v>0.78566758610570187</v>
      </c>
      <c r="D93" s="19">
        <f>D92-1.5%</f>
        <v>0.78066758610570186</v>
      </c>
      <c r="E93" s="19">
        <f t="shared" ref="E93:G93" si="64">E92-1.5%</f>
        <v>0.77566758610570186</v>
      </c>
      <c r="F93" s="19">
        <f t="shared" si="64"/>
        <v>0.77066758610570185</v>
      </c>
      <c r="G93" s="19">
        <f t="shared" si="64"/>
        <v>0.76566758610570185</v>
      </c>
      <c r="I93" s="6"/>
    </row>
    <row r="94" spans="1:9" x14ac:dyDescent="0.15">
      <c r="A94" s="16" t="s">
        <v>496</v>
      </c>
      <c r="B94" s="67" t="s">
        <v>493</v>
      </c>
      <c r="C94" s="110">
        <f>CHOOSE($D$2,C95,C96,C97)</f>
        <v>5.5</v>
      </c>
      <c r="D94" s="110">
        <f t="shared" ref="D94:G94" si="65">CHOOSE($D$2,D95,D96,D97)</f>
        <v>5.5</v>
      </c>
      <c r="E94" s="110">
        <f t="shared" si="65"/>
        <v>5.5</v>
      </c>
      <c r="F94" s="110">
        <f t="shared" si="65"/>
        <v>5.5</v>
      </c>
      <c r="G94" s="110">
        <f t="shared" si="65"/>
        <v>5.5</v>
      </c>
      <c r="I94" s="6" t="s">
        <v>764</v>
      </c>
    </row>
    <row r="95" spans="1:9" x14ac:dyDescent="0.15">
      <c r="A95" s="6" t="s">
        <v>412</v>
      </c>
      <c r="B95" s="61" t="s">
        <v>493</v>
      </c>
      <c r="C95" s="191">
        <f>C96+1</f>
        <v>6.5</v>
      </c>
      <c r="D95" s="191">
        <f t="shared" ref="D95" si="66">D96+1</f>
        <v>6.5</v>
      </c>
      <c r="E95" s="191">
        <f t="shared" ref="E95" si="67">E96+1</f>
        <v>6.5</v>
      </c>
      <c r="F95" s="191">
        <f t="shared" ref="F95" si="68">F96+1</f>
        <v>6.5</v>
      </c>
      <c r="G95" s="191">
        <f t="shared" ref="G95" si="69">G96+1</f>
        <v>6.5</v>
      </c>
      <c r="I95" s="6" t="s">
        <v>765</v>
      </c>
    </row>
    <row r="96" spans="1:9" x14ac:dyDescent="0.15">
      <c r="A96" s="6" t="s">
        <v>413</v>
      </c>
      <c r="B96" s="61" t="s">
        <v>493</v>
      </c>
      <c r="C96" s="191">
        <v>5.5</v>
      </c>
      <c r="D96" s="191">
        <v>5.5</v>
      </c>
      <c r="E96" s="191">
        <v>5.5</v>
      </c>
      <c r="F96" s="191">
        <v>5.5</v>
      </c>
      <c r="G96" s="191">
        <v>5.5</v>
      </c>
      <c r="I96" s="6" t="s">
        <v>766</v>
      </c>
    </row>
    <row r="97" spans="1:9" x14ac:dyDescent="0.15">
      <c r="A97" s="6" t="s">
        <v>414</v>
      </c>
      <c r="B97" s="61" t="s">
        <v>493</v>
      </c>
      <c r="C97" s="191">
        <f>C96-1</f>
        <v>4.5</v>
      </c>
      <c r="D97" s="191">
        <f t="shared" ref="D97" si="70">D96-1</f>
        <v>4.5</v>
      </c>
      <c r="E97" s="191">
        <f t="shared" ref="E97" si="71">E96-1</f>
        <v>4.5</v>
      </c>
      <c r="F97" s="191">
        <f t="shared" ref="F97" si="72">F96-1</f>
        <v>4.5</v>
      </c>
      <c r="G97" s="191">
        <f t="shared" ref="G97" si="73">G96-1</f>
        <v>4.5</v>
      </c>
      <c r="I97" s="6"/>
    </row>
    <row r="98" spans="1:9" x14ac:dyDescent="0.15">
      <c r="A98" s="6" t="s">
        <v>222</v>
      </c>
      <c r="B98" s="43" t="s">
        <v>216</v>
      </c>
      <c r="C98" s="133">
        <f>(AVERAGE('05_Segment_Historical_Raw_Data'!F52/'05_Segment_Historical_Raw_Data'!F48,'05_Segment_Historical_Raw_Data'!E52/'05_Segment_Historical_Raw_Data'!E48,'05_Segment_Historical_Raw_Data'!D52/'05_Segment_Historical_Raw_Data'!D48))/3</f>
        <v>7.9487665221777817E-2</v>
      </c>
      <c r="D98" s="133">
        <f>C98-0.5%</f>
        <v>7.4487665221777813E-2</v>
      </c>
      <c r="E98" s="133">
        <f t="shared" ref="E98:G98" si="74">D98-0.5%</f>
        <v>6.9487665221777808E-2</v>
      </c>
      <c r="F98" s="133">
        <f t="shared" si="74"/>
        <v>6.4487665221777804E-2</v>
      </c>
      <c r="G98" s="133">
        <f t="shared" si="74"/>
        <v>5.9487665221777807E-2</v>
      </c>
      <c r="I98" s="6" t="s">
        <v>252</v>
      </c>
    </row>
    <row r="99" spans="1:9" x14ac:dyDescent="0.15">
      <c r="A99" s="6" t="s">
        <v>225</v>
      </c>
      <c r="B99" s="43" t="s">
        <v>216</v>
      </c>
      <c r="C99" s="135">
        <f>(1+C88)/(1+C102)-1</f>
        <v>5.5355224258467173E-2</v>
      </c>
      <c r="D99" s="135">
        <f>(1+D88)/(1+D102)-1</f>
        <v>4.8002283081996611E-2</v>
      </c>
      <c r="E99" s="135">
        <f>(1+E88)/(1+E102)-1</f>
        <v>4.0649341905526049E-2</v>
      </c>
      <c r="F99" s="135">
        <f>(1+F88)/(1+F102)-1</f>
        <v>3.3296400729055486E-2</v>
      </c>
      <c r="G99" s="135">
        <f>(1+G88)/(1+G102)-1</f>
        <v>2.5943459552584924E-2</v>
      </c>
      <c r="I99" s="6" t="s">
        <v>248</v>
      </c>
    </row>
    <row r="100" spans="1:9" x14ac:dyDescent="0.15">
      <c r="A100" s="16" t="s">
        <v>420</v>
      </c>
      <c r="B100" s="67" t="s">
        <v>216</v>
      </c>
      <c r="C100" s="111">
        <f>CHOOSE($D$2,C101,C102,C103)</f>
        <v>0.02</v>
      </c>
      <c r="D100" s="111">
        <f t="shared" ref="D100:G100" si="75">CHOOSE($D$2,D101,D102,D103)</f>
        <v>0.02</v>
      </c>
      <c r="E100" s="111">
        <f t="shared" si="75"/>
        <v>0.02</v>
      </c>
      <c r="F100" s="111">
        <f t="shared" si="75"/>
        <v>0.02</v>
      </c>
      <c r="G100" s="111">
        <f t="shared" si="75"/>
        <v>0.02</v>
      </c>
      <c r="I100" s="6" t="s">
        <v>249</v>
      </c>
    </row>
    <row r="101" spans="1:9" x14ac:dyDescent="0.15">
      <c r="A101" s="6" t="s">
        <v>412</v>
      </c>
      <c r="B101" s="43" t="s">
        <v>216</v>
      </c>
      <c r="C101" s="19">
        <f>C102+3%</f>
        <v>0.05</v>
      </c>
      <c r="D101" s="19">
        <f t="shared" ref="D101:G101" si="76">D102+3%</f>
        <v>0.05</v>
      </c>
      <c r="E101" s="19">
        <f t="shared" si="76"/>
        <v>0.05</v>
      </c>
      <c r="F101" s="19">
        <f t="shared" si="76"/>
        <v>0.05</v>
      </c>
      <c r="G101" s="19">
        <f t="shared" si="76"/>
        <v>0.05</v>
      </c>
      <c r="I101" s="6"/>
    </row>
    <row r="102" spans="1:9" x14ac:dyDescent="0.15">
      <c r="A102" s="6" t="s">
        <v>413</v>
      </c>
      <c r="B102" s="43" t="s">
        <v>216</v>
      </c>
      <c r="C102" s="137">
        <v>0.02</v>
      </c>
      <c r="D102" s="137">
        <v>0.02</v>
      </c>
      <c r="E102" s="137">
        <v>0.02</v>
      </c>
      <c r="F102" s="137">
        <v>0.02</v>
      </c>
      <c r="G102" s="137">
        <v>0.02</v>
      </c>
      <c r="I102" s="6"/>
    </row>
    <row r="103" spans="1:9" x14ac:dyDescent="0.15">
      <c r="A103" s="6" t="s">
        <v>414</v>
      </c>
      <c r="B103" s="43" t="s">
        <v>216</v>
      </c>
      <c r="C103" s="19">
        <f>C102-3%</f>
        <v>-9.9999999999999985E-3</v>
      </c>
      <c r="D103" s="19">
        <f t="shared" ref="D103:G103" si="77">D102-3%</f>
        <v>-9.9999999999999985E-3</v>
      </c>
      <c r="E103" s="19">
        <f t="shared" si="77"/>
        <v>-9.9999999999999985E-3</v>
      </c>
      <c r="F103" s="19">
        <f t="shared" si="77"/>
        <v>-9.9999999999999985E-3</v>
      </c>
      <c r="G103" s="19">
        <f t="shared" si="77"/>
        <v>-9.9999999999999985E-3</v>
      </c>
      <c r="I103" s="6"/>
    </row>
    <row r="105" spans="1:9" x14ac:dyDescent="0.15">
      <c r="A105" s="273" t="s">
        <v>226</v>
      </c>
      <c r="B105" s="273"/>
      <c r="C105" s="273"/>
      <c r="D105" s="273"/>
      <c r="E105" s="273"/>
      <c r="F105" s="273"/>
      <c r="G105" s="273"/>
    </row>
    <row r="106" spans="1:9" ht="29" customHeight="1" x14ac:dyDescent="0.15">
      <c r="A106" s="6" t="s">
        <v>227</v>
      </c>
      <c r="B106" s="43" t="s">
        <v>216</v>
      </c>
      <c r="C106" s="138">
        <f>AVERAGE('04_Consolidated_Cash_Flow'!F8/'04_Consolidated_Cash_Flow'!E8,'04_Consolidated_Cash_Flow'!E8/'04_Consolidated_Cash_Flow'!D8,'04_Consolidated_Cash_Flow'!D8/'04_Consolidated_Cash_Flow'!C8,'04_Consolidated_Cash_Flow'!C8/'04_Consolidated_Cash_Flow'!B8)-1</f>
        <v>7.2383762205092461E-2</v>
      </c>
      <c r="D106" s="137">
        <f>C106*0.8</f>
        <v>5.7907009764073973E-2</v>
      </c>
      <c r="E106" s="137">
        <f t="shared" ref="E106:F106" si="78">D106*0.8</f>
        <v>4.6325607811259183E-2</v>
      </c>
      <c r="F106" s="137">
        <f t="shared" si="78"/>
        <v>3.7060486249007346E-2</v>
      </c>
      <c r="G106" s="137">
        <f>((-('09_Free_Cash_Flow_Schedule FCFF'!F11*1.25)/'08_Three_Statement_Projections'!F122-1))</f>
        <v>-0.31583519036933472</v>
      </c>
      <c r="I106" s="17" t="s">
        <v>490</v>
      </c>
    </row>
    <row r="107" spans="1:9" x14ac:dyDescent="0.15">
      <c r="A107" s="6" t="s">
        <v>228</v>
      </c>
      <c r="B107" s="43" t="s">
        <v>216</v>
      </c>
      <c r="C107" s="138">
        <f>AVERAGE('02_Consolidated_Historical_Data'!F19/'06_Calculated_Ratios'!F25,'02_Consolidated_Historical_Data'!E19/'06_Calculated_Ratios'!E25,'02_Consolidated_Historical_Data'!D19/'06_Calculated_Ratios'!D25)</f>
        <v>9.7308253433550748E-2</v>
      </c>
      <c r="D107" s="137">
        <f>C107</f>
        <v>9.7308253433550748E-2</v>
      </c>
      <c r="E107" s="137">
        <f t="shared" ref="E107:G107" si="79">D107</f>
        <v>9.7308253433550748E-2</v>
      </c>
      <c r="F107" s="137">
        <f t="shared" si="79"/>
        <v>9.7308253433550748E-2</v>
      </c>
      <c r="G107" s="137">
        <f t="shared" si="79"/>
        <v>9.7308253433550748E-2</v>
      </c>
      <c r="I107" s="6" t="s">
        <v>253</v>
      </c>
    </row>
    <row r="108" spans="1:9" x14ac:dyDescent="0.15">
      <c r="A108" s="6"/>
      <c r="B108" s="43"/>
    </row>
  </sheetData>
  <mergeCells count="6">
    <mergeCell ref="A105:G105"/>
    <mergeCell ref="A5:G5"/>
    <mergeCell ref="A20:G20"/>
    <mergeCell ref="A43:G43"/>
    <mergeCell ref="A66:G66"/>
    <mergeCell ref="A85:G85"/>
  </mergeCells>
  <dataValidations count="1">
    <dataValidation type="list" allowBlank="1" showInputMessage="1" showErrorMessage="1" sqref="D2" xr:uid="{3D84565F-3E09-C648-BB48-40F1052BAB5D}">
      <formula1>"1,2,3"</formula1>
    </dataValidation>
  </dataValidations>
  <pageMargins left="0.7" right="0.7" top="0.75" bottom="0.75" header="0.3" footer="0.3"/>
  <ignoredErrors>
    <ignoredError sqref="D93:G9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D0F9-0CEF-1E4F-9060-4F3AC9A49E41}">
  <dimension ref="A1:N140"/>
  <sheetViews>
    <sheetView showGridLines="0" zoomScaleNormal="100" workbookViewId="0"/>
  </sheetViews>
  <sheetFormatPr baseColWidth="10" defaultRowHeight="13" x14ac:dyDescent="0.15"/>
  <cols>
    <col min="1" max="1" width="50.83203125" bestFit="1" customWidth="1"/>
    <col min="2" max="2" width="11.5" customWidth="1"/>
    <col min="3" max="3" width="11" customWidth="1"/>
    <col min="4" max="4" width="11.83203125" customWidth="1"/>
    <col min="5" max="5" width="12.1640625" customWidth="1"/>
    <col min="6" max="6" width="12.83203125" customWidth="1"/>
    <col min="7" max="7" width="12.5" customWidth="1"/>
    <col min="9" max="9" width="66.1640625" customWidth="1"/>
  </cols>
  <sheetData>
    <row r="1" spans="1:7" ht="19" x14ac:dyDescent="0.25">
      <c r="A1" s="9" t="s">
        <v>204</v>
      </c>
    </row>
    <row r="2" spans="1:7" ht="16" x14ac:dyDescent="0.2">
      <c r="A2" s="11" t="s">
        <v>254</v>
      </c>
    </row>
    <row r="3" spans="1:7" ht="14" x14ac:dyDescent="0.2">
      <c r="A3" s="12" t="s">
        <v>61</v>
      </c>
    </row>
    <row r="5" spans="1:7" ht="17" thickBot="1" x14ac:dyDescent="0.2">
      <c r="A5" s="278" t="s">
        <v>256</v>
      </c>
      <c r="B5" s="278"/>
      <c r="C5" s="278"/>
      <c r="D5" s="278"/>
      <c r="E5" s="278"/>
      <c r="F5" s="278"/>
      <c r="G5" s="278"/>
    </row>
    <row r="6" spans="1:7" ht="35" thickBot="1" x14ac:dyDescent="0.2">
      <c r="A6" s="15" t="s">
        <v>255</v>
      </c>
      <c r="B6" s="15" t="s">
        <v>257</v>
      </c>
      <c r="C6" s="15" t="s">
        <v>258</v>
      </c>
      <c r="D6" s="15" t="s">
        <v>259</v>
      </c>
      <c r="E6" s="15" t="s">
        <v>260</v>
      </c>
      <c r="F6" s="15" t="s">
        <v>261</v>
      </c>
      <c r="G6" s="15" t="s">
        <v>262</v>
      </c>
    </row>
    <row r="7" spans="1:7" ht="15" thickBot="1" x14ac:dyDescent="0.2">
      <c r="A7" s="277" t="s">
        <v>263</v>
      </c>
      <c r="B7" s="277"/>
      <c r="C7" s="277"/>
      <c r="D7" s="277"/>
      <c r="E7" s="277"/>
      <c r="F7" s="277"/>
      <c r="G7" s="277"/>
    </row>
    <row r="8" spans="1:7" x14ac:dyDescent="0.15">
      <c r="A8" s="18" t="s">
        <v>264</v>
      </c>
      <c r="B8" s="139">
        <f>'05_Segment_Historical_Raw_Data'!F7</f>
        <v>662401</v>
      </c>
      <c r="C8" s="139">
        <f>B8*(1+'07_Forecast_assumptions'!C21)</f>
        <v>685873.44203577633</v>
      </c>
      <c r="D8" s="139">
        <f>C8*(1+'07_Forecast_assumptions'!D21)</f>
        <v>710177.639360453</v>
      </c>
      <c r="E8" s="139">
        <f>D8*(1+'07_Forecast_assumptions'!E21)</f>
        <v>735343.06555243139</v>
      </c>
      <c r="F8" s="139">
        <f>E8*(1+'07_Forecast_assumptions'!F21)</f>
        <v>761400.2385980481</v>
      </c>
      <c r="G8" s="139">
        <f>F8*(1+'07_Forecast_assumptions'!G21)</f>
        <v>788380.75790058379</v>
      </c>
    </row>
    <row r="9" spans="1:7" x14ac:dyDescent="0.15">
      <c r="A9" s="18" t="s">
        <v>265</v>
      </c>
      <c r="B9" s="139">
        <f>'05_Segment_Historical_Raw_Data'!F22</f>
        <v>149965</v>
      </c>
      <c r="C9" s="139">
        <f>B9*(1+'07_Forecast_assumptions'!C57)*(1+'07_Forecast_assumptions'!C61)</f>
        <v>171220.92712705297</v>
      </c>
      <c r="D9" s="139">
        <f>C9*(1+'07_Forecast_assumptions'!D57)*(1+'07_Forecast_assumptions'!D61)</f>
        <v>192758.68226181387</v>
      </c>
      <c r="E9" s="139">
        <f>D9*(1+'07_Forecast_assumptions'!E57)*(1+'07_Forecast_assumptions'!E61)</f>
        <v>213950.43361796578</v>
      </c>
      <c r="F9" s="139">
        <f>E9*(1+'07_Forecast_assumptions'!F57)*(1+'07_Forecast_assumptions'!F61)</f>
        <v>234102.27479129823</v>
      </c>
      <c r="G9" s="139">
        <f>F9*(1+'07_Forecast_assumptions'!G57)*(1+'07_Forecast_assumptions'!G61)</f>
        <v>252488.50663375662</v>
      </c>
    </row>
    <row r="10" spans="1:7" x14ac:dyDescent="0.15">
      <c r="A10" s="18" t="s">
        <v>266</v>
      </c>
      <c r="B10" s="139">
        <f>'05_Segment_Historical_Raw_Data'!F36</f>
        <v>328202</v>
      </c>
      <c r="C10" s="139">
        <f>B10*(1+'07_Forecast_assumptions'!C67)</f>
        <v>372196.07198398071</v>
      </c>
      <c r="D10" s="139">
        <f>C10*(1+'07_Forecast_assumptions'!D67)</f>
        <v>418365.40011374606</v>
      </c>
      <c r="E10" s="139">
        <f>D10*(1+'07_Forecast_assumptions'!E67)</f>
        <v>466078.18159359205</v>
      </c>
      <c r="F10" s="139">
        <f>E10*(1+'07_Forecast_assumptions'!F67)</f>
        <v>514571.61956938112</v>
      </c>
      <c r="G10" s="139">
        <f>F10*(1+'07_Forecast_assumptions'!G67)</f>
        <v>562964.87581039267</v>
      </c>
    </row>
    <row r="11" spans="1:7" x14ac:dyDescent="0.15">
      <c r="A11" s="18" t="s">
        <v>267</v>
      </c>
      <c r="B11" s="139">
        <f>'05_Segment_Historical_Raw_Data'!F48</f>
        <v>23861</v>
      </c>
      <c r="C11" s="139">
        <f>B11*(1+'07_Forecast_assumptions'!C86)</f>
        <v>25685.467626151913</v>
      </c>
      <c r="D11" s="139">
        <f>C11*(1+'07_Forecast_assumptions'!D86)</f>
        <v>27456.797288520633</v>
      </c>
      <c r="E11" s="139">
        <f>D11*(1+'07_Forecast_assumptions'!E86)</f>
        <v>29144.355989715081</v>
      </c>
      <c r="F11" s="139">
        <f>E11*(1+'07_Forecast_assumptions'!F86)</f>
        <v>30717.05330865366</v>
      </c>
      <c r="G11" s="139">
        <f>F11*(1+'07_Forecast_assumptions'!G86)</f>
        <v>32144.239137516135</v>
      </c>
    </row>
    <row r="12" spans="1:7" x14ac:dyDescent="0.15">
      <c r="A12" s="18" t="s">
        <v>268</v>
      </c>
      <c r="B12" s="139">
        <f>'02_Consolidated_Historical_Data'!F6-SUM('08_Three_Statement_Projections'!B8:B11)</f>
        <v>11490</v>
      </c>
      <c r="C12" s="139">
        <f>B12*(1+'06_Calculated_Ratios'!$F$5)</f>
        <v>12609.990603344842</v>
      </c>
      <c r="D12" s="139">
        <f>C12*(1+'06_Calculated_Ratios'!$F$5)</f>
        <v>13839.15256888122</v>
      </c>
      <c r="E12" s="139">
        <f>D12*(1+'06_Calculated_Ratios'!$F$5)</f>
        <v>15188.127402249593</v>
      </c>
      <c r="F12" s="139">
        <f>E12*(1+'06_Calculated_Ratios'!$F$5)</f>
        <v>16668.593892495359</v>
      </c>
      <c r="G12" s="139">
        <f>F12*(1+'06_Calculated_Ratios'!$F$5)</f>
        <v>18293.369221526344</v>
      </c>
    </row>
    <row r="13" spans="1:7" ht="4" customHeight="1" x14ac:dyDescent="0.15"/>
    <row r="14" spans="1:7" ht="14" thickBot="1" x14ac:dyDescent="0.2">
      <c r="A14" s="63" t="s">
        <v>269</v>
      </c>
      <c r="B14" s="93">
        <f>+SUM(B8:B12)</f>
        <v>1175919</v>
      </c>
      <c r="C14" s="93">
        <f t="shared" ref="C14:G14" si="0">+SUM(C8:C12)</f>
        <v>1267585.8993763067</v>
      </c>
      <c r="D14" s="93">
        <f t="shared" si="0"/>
        <v>1362597.6715934149</v>
      </c>
      <c r="E14" s="93">
        <f t="shared" si="0"/>
        <v>1459704.1641559538</v>
      </c>
      <c r="F14" s="93">
        <f t="shared" si="0"/>
        <v>1557459.7801598764</v>
      </c>
      <c r="G14" s="93">
        <f t="shared" si="0"/>
        <v>1654271.7487037757</v>
      </c>
    </row>
    <row r="15" spans="1:7" ht="15" thickTop="1" thickBot="1" x14ac:dyDescent="0.2"/>
    <row r="16" spans="1:7" ht="15" thickBot="1" x14ac:dyDescent="0.2">
      <c r="A16" s="277" t="s">
        <v>270</v>
      </c>
      <c r="B16" s="277"/>
      <c r="C16" s="277"/>
      <c r="D16" s="277"/>
      <c r="E16" s="277"/>
      <c r="F16" s="277"/>
      <c r="G16" s="277"/>
    </row>
    <row r="17" spans="1:7" x14ac:dyDescent="0.15">
      <c r="A17" s="18" t="s">
        <v>23</v>
      </c>
      <c r="B17" s="139">
        <f>'05_Segment_Historical_Raw_Data'!F9</f>
        <v>60546</v>
      </c>
      <c r="C17" s="139">
        <f>'08_Three_Statement_Projections'!C8*'07_Forecast_assumptions'!C27</f>
        <v>66526.37353562456</v>
      </c>
      <c r="D17" s="139">
        <f>'08_Three_Statement_Projections'!D8*'07_Forecast_assumptions'!D27</f>
        <v>68883.7619554267</v>
      </c>
      <c r="E17" s="139">
        <f>'08_Three_Statement_Projections'!E8*'07_Forecast_assumptions'!E27</f>
        <v>71324.685368442326</v>
      </c>
      <c r="F17" s="139">
        <f>'08_Three_Statement_Projections'!F8*'07_Forecast_assumptions'!F27</f>
        <v>73852.103870272404</v>
      </c>
      <c r="G17" s="139">
        <f>'08_Three_Statement_Projections'!G8*'07_Forecast_assumptions'!G27</f>
        <v>76469.082448678993</v>
      </c>
    </row>
    <row r="18" spans="1:7" x14ac:dyDescent="0.15">
      <c r="A18" s="18" t="s">
        <v>271</v>
      </c>
      <c r="B18" s="139">
        <f>'05_Segment_Historical_Raw_Data'!F24</f>
        <v>76560</v>
      </c>
      <c r="C18" s="139">
        <f>C9*'07_Forecast_assumptions'!C47</f>
        <v>85028.312411294508</v>
      </c>
      <c r="D18" s="139">
        <f>D9*'07_Forecast_assumptions'!D47</f>
        <v>96687.755022525846</v>
      </c>
      <c r="E18" s="139">
        <f>E9*'07_Forecast_assumptions'!E47</f>
        <v>108387.28967086147</v>
      </c>
      <c r="F18" s="139">
        <f>F9*'07_Forecast_assumptions'!F47</f>
        <v>119766.72378322818</v>
      </c>
      <c r="G18" s="139">
        <f>G9*'07_Forecast_assumptions'!G47</f>
        <v>130435.56252699869</v>
      </c>
    </row>
    <row r="19" spans="1:7" x14ac:dyDescent="0.15">
      <c r="A19" s="18" t="s">
        <v>272</v>
      </c>
      <c r="B19" s="139">
        <f>'05_Segment_Historical_Raw_Data'!F37</f>
        <v>27034</v>
      </c>
      <c r="C19" s="139">
        <f>C10*'07_Forecast_assumptions'!C71</f>
        <v>29876.354845068538</v>
      </c>
      <c r="D19" s="139">
        <f>D10*'07_Forecast_assumptions'!D71</f>
        <v>35674.215664883595</v>
      </c>
      <c r="E19" s="139">
        <f>E10*'07_Forecast_assumptions'!E71</f>
        <v>42073.098030368637</v>
      </c>
      <c r="F19" s="139">
        <f>F10*'07_Forecast_assumptions'!F71</f>
        <v>49023.481724477067</v>
      </c>
      <c r="G19" s="139">
        <f>G10*'07_Forecast_assumptions'!G71</f>
        <v>56448.754528384859</v>
      </c>
    </row>
    <row r="20" spans="1:7" x14ac:dyDescent="0.15">
      <c r="A20" s="18" t="s">
        <v>273</v>
      </c>
      <c r="B20" s="139">
        <f>'05_Segment_Historical_Raw_Data'!F49</f>
        <v>19050</v>
      </c>
      <c r="C20" s="139">
        <f>C11*'07_Forecast_assumptions'!C90</f>
        <v>20565.521362227206</v>
      </c>
      <c r="D20" s="139">
        <f>D11*'07_Forecast_assumptions'!D90</f>
        <v>21846.483620750791</v>
      </c>
      <c r="E20" s="139">
        <f>E11*'07_Forecast_assumptions'!E90</f>
        <v>23043.497598993275</v>
      </c>
      <c r="F20" s="139">
        <f>F11*'07_Forecast_assumptions'!F90</f>
        <v>24133.393125290084</v>
      </c>
      <c r="G20" s="139">
        <f>G11*'07_Forecast_assumptions'!G90</f>
        <v>25093.965574689148</v>
      </c>
    </row>
    <row r="21" spans="1:7" x14ac:dyDescent="0.15">
      <c r="A21" s="18" t="s">
        <v>275</v>
      </c>
      <c r="B21" s="139">
        <f>'02_Consolidated_Historical_Data'!F16-SUM('08_Three_Statement_Projections'!B17:B20)</f>
        <v>24721</v>
      </c>
      <c r="C21" s="139">
        <f>B21*(1+'06_Calculated_Ratios'!$F$6)</f>
        <v>28021.545021862152</v>
      </c>
      <c r="D21" s="139">
        <f>C21*(1+'06_Calculated_Ratios'!$F$6)</f>
        <v>31762.751725749265</v>
      </c>
      <c r="E21" s="139">
        <f>D21*(1+'06_Calculated_Ratios'!$F$6)</f>
        <v>36003.453642705106</v>
      </c>
      <c r="F21" s="139">
        <f>E21*(1+'06_Calculated_Ratios'!$F$6)</f>
        <v>40810.339273960926</v>
      </c>
      <c r="G21" s="139">
        <f>F21*(1+'06_Calculated_Ratios'!$F$6)</f>
        <v>46259.00082208508</v>
      </c>
    </row>
    <row r="22" spans="1:7" ht="5" customHeight="1" x14ac:dyDescent="0.15">
      <c r="A22" s="18"/>
      <c r="B22" s="24"/>
      <c r="C22" s="24"/>
      <c r="D22" s="24"/>
      <c r="E22" s="24"/>
      <c r="F22" s="24"/>
      <c r="G22" s="24"/>
    </row>
    <row r="23" spans="1:7" ht="14" thickBot="1" x14ac:dyDescent="0.2">
      <c r="A23" s="63" t="s">
        <v>274</v>
      </c>
      <c r="B23" s="93">
        <f>+SUM(B16:B21)</f>
        <v>207911</v>
      </c>
      <c r="C23" s="93">
        <f t="shared" ref="C23:G23" si="1">+SUM(C16:C21)</f>
        <v>230018.10717607697</v>
      </c>
      <c r="D23" s="93">
        <f t="shared" si="1"/>
        <v>254854.9679893362</v>
      </c>
      <c r="E23" s="93">
        <f t="shared" si="1"/>
        <v>280832.0243113708</v>
      </c>
      <c r="F23" s="93">
        <f t="shared" si="1"/>
        <v>307586.0417772287</v>
      </c>
      <c r="G23" s="93">
        <f t="shared" si="1"/>
        <v>334706.36590083677</v>
      </c>
    </row>
    <row r="24" spans="1:7" ht="15" thickTop="1" thickBot="1" x14ac:dyDescent="0.2"/>
    <row r="25" spans="1:7" ht="15" thickBot="1" x14ac:dyDescent="0.2">
      <c r="A25" s="277" t="s">
        <v>276</v>
      </c>
      <c r="B25" s="277"/>
      <c r="C25" s="277"/>
      <c r="D25" s="277"/>
      <c r="E25" s="277"/>
      <c r="F25" s="277"/>
      <c r="G25" s="277"/>
    </row>
    <row r="26" spans="1:7" x14ac:dyDescent="0.15">
      <c r="A26" s="18" t="s">
        <v>277</v>
      </c>
      <c r="B26" s="140">
        <f>B23</f>
        <v>207911</v>
      </c>
      <c r="C26" s="140">
        <f t="shared" ref="C26:G26" si="2">C23</f>
        <v>230018.10717607697</v>
      </c>
      <c r="D26" s="140">
        <f t="shared" si="2"/>
        <v>254854.9679893362</v>
      </c>
      <c r="E26" s="140">
        <f t="shared" si="2"/>
        <v>280832.0243113708</v>
      </c>
      <c r="F26" s="140">
        <f t="shared" si="2"/>
        <v>307586.0417772287</v>
      </c>
      <c r="G26" s="140">
        <f t="shared" si="2"/>
        <v>334706.36590083677</v>
      </c>
    </row>
    <row r="27" spans="1:7" x14ac:dyDescent="0.15">
      <c r="A27" s="18" t="s">
        <v>278</v>
      </c>
      <c r="B27" s="140">
        <f>'02_Consolidated_Historical_Data'!F17</f>
        <v>57688</v>
      </c>
      <c r="C27" s="140">
        <f>B27*(1+0.075)</f>
        <v>62014.6</v>
      </c>
      <c r="D27" s="140">
        <f t="shared" ref="D27:G27" si="3">C27*(1+0.075)</f>
        <v>66665.694999999992</v>
      </c>
      <c r="E27" s="140">
        <f t="shared" si="3"/>
        <v>71665.622124999994</v>
      </c>
      <c r="F27" s="140">
        <f t="shared" si="3"/>
        <v>77040.543784374997</v>
      </c>
      <c r="G27" s="140">
        <f t="shared" si="3"/>
        <v>82818.584568203121</v>
      </c>
    </row>
    <row r="28" spans="1:7" x14ac:dyDescent="0.15">
      <c r="A28" s="72" t="s">
        <v>279</v>
      </c>
      <c r="B28" s="49">
        <f>B26-B27</f>
        <v>150223</v>
      </c>
      <c r="C28" s="49">
        <f t="shared" ref="C28:G28" si="4">C26-C27</f>
        <v>168003.50717607696</v>
      </c>
      <c r="D28" s="49">
        <f t="shared" si="4"/>
        <v>188189.27298933623</v>
      </c>
      <c r="E28" s="49">
        <f t="shared" si="4"/>
        <v>209166.4021863708</v>
      </c>
      <c r="F28" s="49">
        <f t="shared" si="4"/>
        <v>230545.49799285369</v>
      </c>
      <c r="G28" s="49">
        <f t="shared" si="4"/>
        <v>251887.78133263363</v>
      </c>
    </row>
    <row r="29" spans="1:7" x14ac:dyDescent="0.15">
      <c r="A29" s="141" t="s">
        <v>280</v>
      </c>
      <c r="B29" s="140">
        <f>-'02_Consolidated_Historical_Data'!F19</f>
        <v>-27061</v>
      </c>
      <c r="C29" s="140">
        <f>B29*(1+'07_Forecast_assumptions'!C107)</f>
        <v>-29694.258646165315</v>
      </c>
      <c r="D29" s="140">
        <f>C29*(1+'07_Forecast_assumptions'!D107)</f>
        <v>-32583.755092027775</v>
      </c>
      <c r="E29" s="140">
        <f>D29*(1+'07_Forecast_assumptions'!E107)</f>
        <v>-35754.423390339565</v>
      </c>
      <c r="F29" s="140">
        <f>E29*(1+'07_Forecast_assumptions'!F107)</f>
        <v>-39233.623882977205</v>
      </c>
      <c r="G29" s="140">
        <f>F29*(1+'07_Forecast_assumptions'!G107)</f>
        <v>-43051.379298898559</v>
      </c>
    </row>
    <row r="30" spans="1:7" x14ac:dyDescent="0.15">
      <c r="A30" s="142" t="s">
        <v>281</v>
      </c>
      <c r="B30" s="143">
        <v>19252</v>
      </c>
      <c r="C30" s="143">
        <f>B30*(1+5%)</f>
        <v>20214.600000000002</v>
      </c>
      <c r="D30" s="143">
        <f t="shared" ref="D30:G30" si="5">C30*(1+5%)</f>
        <v>21225.33</v>
      </c>
      <c r="E30" s="143">
        <f t="shared" si="5"/>
        <v>22286.596500000003</v>
      </c>
      <c r="F30" s="143">
        <f t="shared" si="5"/>
        <v>23400.926325000004</v>
      </c>
      <c r="G30" s="143">
        <f t="shared" si="5"/>
        <v>24570.972641250006</v>
      </c>
    </row>
    <row r="31" spans="1:7" ht="4" customHeight="1" x14ac:dyDescent="0.15"/>
    <row r="32" spans="1:7" ht="14" thickBot="1" x14ac:dyDescent="0.2">
      <c r="A32" s="63" t="s">
        <v>73</v>
      </c>
      <c r="B32" s="93">
        <f>B28+B29+B30</f>
        <v>142414</v>
      </c>
      <c r="C32" s="93">
        <f t="shared" ref="C32:G32" si="6">C28+C29+C30</f>
        <v>158523.84852991166</v>
      </c>
      <c r="D32" s="93">
        <f t="shared" si="6"/>
        <v>176830.84789730847</v>
      </c>
      <c r="E32" s="93">
        <f t="shared" si="6"/>
        <v>195698.57529603125</v>
      </c>
      <c r="F32" s="93">
        <f t="shared" si="6"/>
        <v>214712.8004348765</v>
      </c>
      <c r="G32" s="93">
        <f t="shared" si="6"/>
        <v>233407.37467498507</v>
      </c>
    </row>
    <row r="33" spans="1:7" ht="5" customHeight="1" thickTop="1" x14ac:dyDescent="0.15"/>
    <row r="34" spans="1:7" x14ac:dyDescent="0.15">
      <c r="A34" s="18" t="s">
        <v>282</v>
      </c>
      <c r="B34" s="22">
        <v>-27552</v>
      </c>
      <c r="C34" s="33">
        <f>-C32*'07_Forecast_assumptions'!C6/100</f>
        <v>-39900.452674978769</v>
      </c>
      <c r="D34" s="33">
        <f>-D32*'07_Forecast_assumptions'!D6/100</f>
        <v>-44508.324415752541</v>
      </c>
      <c r="E34" s="33">
        <f>-E32*'07_Forecast_assumptions'!E6/100</f>
        <v>-49257.33140201107</v>
      </c>
      <c r="F34" s="33">
        <f>-F32*'07_Forecast_assumptions'!F6/100</f>
        <v>-54043.211869458413</v>
      </c>
      <c r="G34" s="33">
        <f>-G32*'07_Forecast_assumptions'!G6/100</f>
        <v>-58748.636205693743</v>
      </c>
    </row>
    <row r="35" spans="1:7" ht="5" customHeight="1" x14ac:dyDescent="0.15">
      <c r="B35" s="37"/>
    </row>
    <row r="36" spans="1:7" ht="14" thickBot="1" x14ac:dyDescent="0.2">
      <c r="A36" s="63" t="s">
        <v>75</v>
      </c>
      <c r="B36" s="93">
        <f>B32+B34</f>
        <v>114862</v>
      </c>
      <c r="C36" s="93">
        <f t="shared" ref="C36:G36" si="7">C32+C34</f>
        <v>118623.3958549329</v>
      </c>
      <c r="D36" s="93">
        <f t="shared" si="7"/>
        <v>132322.52348155592</v>
      </c>
      <c r="E36" s="93">
        <f t="shared" si="7"/>
        <v>146441.24389402018</v>
      </c>
      <c r="F36" s="93">
        <f t="shared" si="7"/>
        <v>160669.58856541809</v>
      </c>
      <c r="G36" s="93">
        <f t="shared" si="7"/>
        <v>174658.73846929133</v>
      </c>
    </row>
    <row r="37" spans="1:7" ht="7" customHeight="1" thickTop="1" x14ac:dyDescent="0.15"/>
    <row r="38" spans="1:7" x14ac:dyDescent="0.15">
      <c r="A38" s="18" t="s">
        <v>283</v>
      </c>
      <c r="B38" s="22">
        <f>-'02_Consolidated_Historical_Data'!F25</f>
        <v>-20108</v>
      </c>
      <c r="C38" s="33">
        <f>-C36* 18%</f>
        <v>-21352.211253887919</v>
      </c>
      <c r="D38" s="33">
        <f t="shared" ref="D38:G38" si="8">-D36* 18%</f>
        <v>-23818.054226680066</v>
      </c>
      <c r="E38" s="33">
        <f t="shared" si="8"/>
        <v>-26359.423900923633</v>
      </c>
      <c r="F38" s="33">
        <f t="shared" si="8"/>
        <v>-28920.525941775257</v>
      </c>
      <c r="G38" s="33">
        <f t="shared" si="8"/>
        <v>-31438.572924472439</v>
      </c>
    </row>
    <row r="39" spans="1:7" ht="12" customHeight="1" x14ac:dyDescent="0.15">
      <c r="A39" s="18" t="str">
        <f>'02_Consolidated_Historical_Data'!A24</f>
        <v>Share of Profit/(Loss) of JVs &amp; Associates</v>
      </c>
      <c r="B39" s="22">
        <f>'02_Consolidated_Historical_Data'!F24</f>
        <v>1000</v>
      </c>
      <c r="C39" s="22">
        <f>B39*1.1</f>
        <v>1100</v>
      </c>
      <c r="D39" s="22">
        <f t="shared" ref="D39:G39" si="9">C39*1.1</f>
        <v>1210</v>
      </c>
      <c r="E39" s="22">
        <f t="shared" si="9"/>
        <v>1331</v>
      </c>
      <c r="F39" s="22">
        <f t="shared" si="9"/>
        <v>1464.1000000000001</v>
      </c>
      <c r="G39" s="22">
        <f t="shared" si="9"/>
        <v>1610.5100000000002</v>
      </c>
    </row>
    <row r="40" spans="1:7" ht="5" customHeight="1" x14ac:dyDescent="0.15"/>
    <row r="41" spans="1:7" ht="14" thickBot="1" x14ac:dyDescent="0.2">
      <c r="A41" s="63" t="s">
        <v>284</v>
      </c>
      <c r="B41" s="93">
        <f>B36+B38+B39</f>
        <v>95754</v>
      </c>
      <c r="C41" s="93">
        <f t="shared" ref="C41:G41" si="10">C36+C38+C39</f>
        <v>98371.184601044981</v>
      </c>
      <c r="D41" s="93">
        <f t="shared" si="10"/>
        <v>109714.46925487586</v>
      </c>
      <c r="E41" s="93">
        <f t="shared" si="10"/>
        <v>121412.81999309655</v>
      </c>
      <c r="F41" s="93">
        <f t="shared" si="10"/>
        <v>133213.16262364283</v>
      </c>
      <c r="G41" s="93">
        <f t="shared" si="10"/>
        <v>144830.67554481889</v>
      </c>
    </row>
    <row r="42" spans="1:7" ht="14" thickTop="1" x14ac:dyDescent="0.15"/>
    <row r="44" spans="1:7" ht="17" thickBot="1" x14ac:dyDescent="0.2">
      <c r="A44" s="278" t="s">
        <v>285</v>
      </c>
      <c r="B44" s="278"/>
      <c r="C44" s="278"/>
      <c r="D44" s="278"/>
      <c r="E44" s="278"/>
      <c r="F44" s="278"/>
      <c r="G44" s="278"/>
    </row>
    <row r="45" spans="1:7" ht="35" thickBot="1" x14ac:dyDescent="0.2">
      <c r="A45" s="15" t="s">
        <v>255</v>
      </c>
      <c r="B45" s="15" t="s">
        <v>257</v>
      </c>
      <c r="C45" s="15" t="s">
        <v>258</v>
      </c>
      <c r="D45" s="15" t="s">
        <v>259</v>
      </c>
      <c r="E45" s="15" t="s">
        <v>260</v>
      </c>
      <c r="F45" s="15" t="s">
        <v>261</v>
      </c>
      <c r="G45" s="15" t="s">
        <v>262</v>
      </c>
    </row>
    <row r="46" spans="1:7" ht="15" thickBot="1" x14ac:dyDescent="0.2">
      <c r="A46" s="277" t="s">
        <v>286</v>
      </c>
      <c r="B46" s="277"/>
      <c r="C46" s="277"/>
      <c r="D46" s="277"/>
      <c r="E46" s="277"/>
      <c r="F46" s="277"/>
      <c r="G46" s="277"/>
    </row>
    <row r="47" spans="1:7" x14ac:dyDescent="0.15">
      <c r="A47" s="18" t="s">
        <v>287</v>
      </c>
      <c r="B47" s="140">
        <f>'08A_Balance_Sheet_Support_Sched'!C8</f>
        <v>751087</v>
      </c>
      <c r="C47" s="140">
        <f>'08A_Balance_Sheet_Support_Sched'!D8</f>
        <v>820885.52251520113</v>
      </c>
      <c r="D47" s="140">
        <f>'08A_Balance_Sheet_Support_Sched'!E8</f>
        <v>893666.33128772199</v>
      </c>
      <c r="E47" s="140">
        <f>'08A_Balance_Sheet_Support_Sched'!F8</f>
        <v>968825.32608736551</v>
      </c>
      <c r="F47" s="140">
        <f>'08A_Balance_Sheet_Support_Sched'!G8</f>
        <v>1045612.7498153633</v>
      </c>
      <c r="G47" s="140">
        <f>'08A_Balance_Sheet_Support_Sched'!H8</f>
        <v>1070828.6461420506</v>
      </c>
    </row>
    <row r="48" spans="1:7" x14ac:dyDescent="0.15">
      <c r="A48" s="18" t="s">
        <v>288</v>
      </c>
      <c r="B48" s="140">
        <f>'03_Consolidated_Balance_Sheet_'!F9</f>
        <v>192287</v>
      </c>
      <c r="C48" s="49">
        <f>B48*95%</f>
        <v>182672.65</v>
      </c>
      <c r="D48" s="49">
        <f t="shared" ref="D48:F48" si="11">C48*95%</f>
        <v>173539.01749999999</v>
      </c>
      <c r="E48" s="49">
        <f t="shared" si="11"/>
        <v>164862.06662499998</v>
      </c>
      <c r="F48" s="49">
        <f t="shared" si="11"/>
        <v>156618.96329374998</v>
      </c>
      <c r="G48" s="49">
        <f>F48*95%</f>
        <v>148788.01512906249</v>
      </c>
    </row>
    <row r="49" spans="1:7" x14ac:dyDescent="0.15">
      <c r="A49" s="18" t="s">
        <v>289</v>
      </c>
      <c r="B49" s="140">
        <f>'03_Consolidated_Balance_Sheet_'!F10</f>
        <v>196731</v>
      </c>
      <c r="C49" s="143">
        <f t="shared" ref="C49:C54" si="12">B49</f>
        <v>196731</v>
      </c>
      <c r="D49" s="143">
        <f t="shared" ref="D49:G49" si="13">C49</f>
        <v>196731</v>
      </c>
      <c r="E49" s="143">
        <f t="shared" si="13"/>
        <v>196731</v>
      </c>
      <c r="F49" s="143">
        <f t="shared" si="13"/>
        <v>196731</v>
      </c>
      <c r="G49" s="143">
        <f t="shared" si="13"/>
        <v>196731</v>
      </c>
    </row>
    <row r="50" spans="1:7" x14ac:dyDescent="0.15">
      <c r="A50" s="6" t="s">
        <v>290</v>
      </c>
      <c r="B50" s="140">
        <f>'03_Consolidated_Balance_Sheet_'!F11</f>
        <v>222376</v>
      </c>
      <c r="C50" s="143">
        <f t="shared" si="12"/>
        <v>222376</v>
      </c>
      <c r="D50" s="143">
        <f t="shared" ref="D50:G50" si="14">C50</f>
        <v>222376</v>
      </c>
      <c r="E50" s="143">
        <f t="shared" si="14"/>
        <v>222376</v>
      </c>
      <c r="F50" s="143">
        <f t="shared" si="14"/>
        <v>222376</v>
      </c>
      <c r="G50" s="143">
        <f t="shared" si="14"/>
        <v>222376</v>
      </c>
    </row>
    <row r="51" spans="1:7" x14ac:dyDescent="0.15">
      <c r="A51" s="18" t="s">
        <v>291</v>
      </c>
      <c r="B51" s="140">
        <f>'03_Consolidated_Balance_Sheet_'!F12</f>
        <v>150901</v>
      </c>
      <c r="C51" s="143">
        <f t="shared" si="12"/>
        <v>150901</v>
      </c>
      <c r="D51" s="143">
        <f t="shared" ref="D51:G51" si="15">C51</f>
        <v>150901</v>
      </c>
      <c r="E51" s="143">
        <f t="shared" si="15"/>
        <v>150901</v>
      </c>
      <c r="F51" s="143">
        <f t="shared" si="15"/>
        <v>150901</v>
      </c>
      <c r="G51" s="143">
        <f t="shared" si="15"/>
        <v>150901</v>
      </c>
    </row>
    <row r="52" spans="1:7" x14ac:dyDescent="0.15">
      <c r="A52" s="18" t="s">
        <v>292</v>
      </c>
      <c r="B52" s="140">
        <f>'03_Consolidated_Balance_Sheet_'!F13</f>
        <v>5725</v>
      </c>
      <c r="C52" s="143">
        <f t="shared" si="12"/>
        <v>5725</v>
      </c>
      <c r="D52" s="143">
        <f t="shared" ref="D52:G54" si="16">C52</f>
        <v>5725</v>
      </c>
      <c r="E52" s="143">
        <f t="shared" si="16"/>
        <v>5725</v>
      </c>
      <c r="F52" s="143">
        <f t="shared" si="16"/>
        <v>5725</v>
      </c>
      <c r="G52" s="143">
        <f t="shared" si="16"/>
        <v>5725</v>
      </c>
    </row>
    <row r="53" spans="1:7" x14ac:dyDescent="0.15">
      <c r="A53" s="18" t="str">
        <f>'03_Consolidated_Balance_Sheet_'!A14</f>
        <v>Deferred Tax Assets (Net) ₹ Crore</v>
      </c>
      <c r="B53" s="140">
        <f>'03_Consolidated_Balance_Sheet_'!F14</f>
        <v>594</v>
      </c>
      <c r="C53" s="143">
        <f t="shared" si="12"/>
        <v>594</v>
      </c>
      <c r="D53" s="143">
        <f t="shared" si="16"/>
        <v>594</v>
      </c>
      <c r="E53" s="143">
        <f t="shared" si="16"/>
        <v>594</v>
      </c>
      <c r="F53" s="143">
        <f t="shared" si="16"/>
        <v>594</v>
      </c>
      <c r="G53" s="143">
        <f t="shared" si="16"/>
        <v>594</v>
      </c>
    </row>
    <row r="54" spans="1:7" x14ac:dyDescent="0.15">
      <c r="A54" s="18" t="str">
        <f>'03_Consolidated_Balance_Sheet_'!A15</f>
        <v>Other Non-Current Assets ₹ Crore</v>
      </c>
      <c r="B54" s="140">
        <f>'03_Consolidated_Balance_Sheet_'!F15</f>
        <v>64190</v>
      </c>
      <c r="C54" s="143">
        <f t="shared" si="12"/>
        <v>64190</v>
      </c>
      <c r="D54" s="143">
        <f t="shared" si="16"/>
        <v>64190</v>
      </c>
      <c r="E54" s="143">
        <f t="shared" si="16"/>
        <v>64190</v>
      </c>
      <c r="F54" s="143">
        <f t="shared" si="16"/>
        <v>64190</v>
      </c>
      <c r="G54" s="143">
        <f t="shared" si="16"/>
        <v>64190</v>
      </c>
    </row>
    <row r="55" spans="1:7" ht="6" customHeight="1" x14ac:dyDescent="0.15"/>
    <row r="56" spans="1:7" ht="14" thickBot="1" x14ac:dyDescent="0.2">
      <c r="A56" s="62" t="s">
        <v>83</v>
      </c>
      <c r="B56" s="53">
        <f>SUM(B47:B54)</f>
        <v>1583891</v>
      </c>
      <c r="C56" s="53">
        <f t="shared" ref="C56:G56" si="17">SUM(C47:C54)</f>
        <v>1644075.1725152011</v>
      </c>
      <c r="D56" s="53">
        <f t="shared" si="17"/>
        <v>1707722.3487877219</v>
      </c>
      <c r="E56" s="53">
        <f t="shared" si="17"/>
        <v>1774204.3927123654</v>
      </c>
      <c r="F56" s="53">
        <f t="shared" si="17"/>
        <v>1842748.7131091133</v>
      </c>
      <c r="G56" s="53">
        <f t="shared" si="17"/>
        <v>1860133.6612711132</v>
      </c>
    </row>
    <row r="57" spans="1:7" ht="15" thickTop="1" thickBot="1" x14ac:dyDescent="0.2"/>
    <row r="58" spans="1:7" ht="15" thickBot="1" x14ac:dyDescent="0.2">
      <c r="A58" s="277" t="s">
        <v>293</v>
      </c>
      <c r="B58" s="277"/>
      <c r="C58" s="277"/>
      <c r="D58" s="277"/>
      <c r="E58" s="277"/>
      <c r="F58" s="277"/>
      <c r="G58" s="277"/>
    </row>
    <row r="59" spans="1:7" x14ac:dyDescent="0.15">
      <c r="A59" s="18" t="s">
        <v>84</v>
      </c>
      <c r="B59" s="140">
        <f>'08A_Balance_Sheet_Support_Sched'!C11</f>
        <v>166941</v>
      </c>
      <c r="C59" s="140">
        <f>'08A_Balance_Sheet_Support_Sched'!D11</f>
        <v>179997.19771143552</v>
      </c>
      <c r="D59" s="140">
        <f>'08A_Balance_Sheet_Support_Sched'!E11</f>
        <v>193488.8693662649</v>
      </c>
      <c r="E59" s="140">
        <f>'08A_Balance_Sheet_Support_Sched'!F11</f>
        <v>207277.99131014541</v>
      </c>
      <c r="F59" s="140">
        <f>'08A_Balance_Sheet_Support_Sched'!G11</f>
        <v>221159.28878270244</v>
      </c>
      <c r="G59" s="140">
        <f>'08A_Balance_Sheet_Support_Sched'!H11</f>
        <v>234906.58831593613</v>
      </c>
    </row>
    <row r="60" spans="1:7" x14ac:dyDescent="0.15">
      <c r="A60" s="18" t="str">
        <f>'03_Consolidated_Balance_Sheet_'!A20</f>
        <v>Current Investments ₹ Crore</v>
      </c>
      <c r="B60" s="140">
        <f>'03_Consolidated_Balance_Sheet_'!F20</f>
        <v>97431</v>
      </c>
      <c r="C60" s="143">
        <f>B60</f>
        <v>97431</v>
      </c>
      <c r="D60" s="143">
        <f t="shared" ref="D60:G60" si="18">C60</f>
        <v>97431</v>
      </c>
      <c r="E60" s="143">
        <f t="shared" si="18"/>
        <v>97431</v>
      </c>
      <c r="F60" s="143">
        <f t="shared" si="18"/>
        <v>97431</v>
      </c>
      <c r="G60" s="143">
        <f t="shared" si="18"/>
        <v>97431</v>
      </c>
    </row>
    <row r="61" spans="1:7" x14ac:dyDescent="0.15">
      <c r="A61" s="18" t="str">
        <f>'03_Consolidated_Balance_Sheet_'!A21</f>
        <v>Trade Receivables ₹ Crore</v>
      </c>
      <c r="B61" s="140">
        <f>'08A_Balance_Sheet_Support_Sched'!C12</f>
        <v>58491</v>
      </c>
      <c r="C61" s="49">
        <f>'08A_Balance_Sheet_Support_Sched'!D12</f>
        <v>63379.294968815339</v>
      </c>
      <c r="D61" s="49">
        <f>'08A_Balance_Sheet_Support_Sched'!E12</f>
        <v>68129.883579670743</v>
      </c>
      <c r="E61" s="49">
        <f>'08A_Balance_Sheet_Support_Sched'!F12</f>
        <v>72985.208207797696</v>
      </c>
      <c r="F61" s="49">
        <f>'08A_Balance_Sheet_Support_Sched'!G12</f>
        <v>77872.98900799382</v>
      </c>
      <c r="G61" s="49">
        <f>'08A_Balance_Sheet_Support_Sched'!H12</f>
        <v>82713.587435188791</v>
      </c>
    </row>
    <row r="62" spans="1:7" x14ac:dyDescent="0.15">
      <c r="A62" s="18" t="str">
        <f>'03_Consolidated_Balance_Sheet_'!A22</f>
        <v>Cash &amp; Cash Equivalents ₹ Crore</v>
      </c>
      <c r="B62" s="140">
        <f>'03_Consolidated_Balance_Sheet_'!F22</f>
        <v>145977</v>
      </c>
      <c r="C62" s="49">
        <f>C139</f>
        <v>155350.17014989501</v>
      </c>
      <c r="D62" s="49">
        <f t="shared" ref="D62:G62" si="19">D139</f>
        <v>178251.09751330022</v>
      </c>
      <c r="E62" s="49">
        <f t="shared" si="19"/>
        <v>216005.59409600162</v>
      </c>
      <c r="F62" s="49">
        <f t="shared" si="19"/>
        <v>270008.05934024352</v>
      </c>
      <c r="G62" s="49">
        <f t="shared" si="19"/>
        <v>393507.33223288157</v>
      </c>
    </row>
    <row r="63" spans="1:7" x14ac:dyDescent="0.15">
      <c r="A63" s="18" t="s">
        <v>294</v>
      </c>
      <c r="B63" s="140">
        <f>'03_Consolidated_Balance_Sheet_'!F23</f>
        <v>62796</v>
      </c>
      <c r="C63" s="143">
        <f>B63</f>
        <v>62796</v>
      </c>
      <c r="D63" s="143">
        <f t="shared" ref="D63:G63" si="20">C63</f>
        <v>62796</v>
      </c>
      <c r="E63" s="143">
        <f t="shared" si="20"/>
        <v>62796</v>
      </c>
      <c r="F63" s="143">
        <f t="shared" si="20"/>
        <v>62796</v>
      </c>
      <c r="G63" s="143">
        <f t="shared" si="20"/>
        <v>62796</v>
      </c>
    </row>
    <row r="64" spans="1:7" x14ac:dyDescent="0.15">
      <c r="A64" s="18" t="s">
        <v>86</v>
      </c>
      <c r="B64" s="140">
        <f>'03_Consolidated_Balance_Sheet_'!F24</f>
        <v>62613</v>
      </c>
      <c r="C64" s="143">
        <f>B64</f>
        <v>62613</v>
      </c>
      <c r="D64" s="143">
        <f t="shared" ref="D64:G64" si="21">C64</f>
        <v>62613</v>
      </c>
      <c r="E64" s="143">
        <f t="shared" si="21"/>
        <v>62613</v>
      </c>
      <c r="F64" s="143">
        <f t="shared" si="21"/>
        <v>62613</v>
      </c>
      <c r="G64" s="143">
        <f t="shared" si="21"/>
        <v>62613</v>
      </c>
    </row>
    <row r="65" spans="1:12" ht="4" customHeight="1" x14ac:dyDescent="0.15"/>
    <row r="66" spans="1:12" ht="14" thickBot="1" x14ac:dyDescent="0.2">
      <c r="A66" s="62" t="s">
        <v>87</v>
      </c>
      <c r="B66" s="53">
        <f>SUM(B59:B64)</f>
        <v>594249</v>
      </c>
      <c r="C66" s="53">
        <f t="shared" ref="C66:F66" si="22">SUM(C59:C64)</f>
        <v>621566.6628301458</v>
      </c>
      <c r="D66" s="53">
        <f t="shared" si="22"/>
        <v>662709.85045923584</v>
      </c>
      <c r="E66" s="53">
        <f t="shared" si="22"/>
        <v>719108.79361394467</v>
      </c>
      <c r="F66" s="53">
        <f t="shared" si="22"/>
        <v>791880.33713093982</v>
      </c>
      <c r="G66" s="53">
        <f>SUM(G59:G64)</f>
        <v>933967.50798400654</v>
      </c>
    </row>
    <row r="67" spans="1:12" ht="30" customHeight="1" thickTop="1" x14ac:dyDescent="0.15">
      <c r="A67" s="131" t="s">
        <v>348</v>
      </c>
      <c r="B67" s="144">
        <f ca="1">B99-B69</f>
        <v>0</v>
      </c>
      <c r="C67" s="144">
        <f t="shared" ref="C67:G67" ca="1" si="23">C99-C69</f>
        <v>-7487.4013245063834</v>
      </c>
      <c r="D67" s="144">
        <f t="shared" ca="1" si="23"/>
        <v>-16975.199292076286</v>
      </c>
      <c r="E67" s="144">
        <f t="shared" ca="1" si="23"/>
        <v>-29368.37077539973</v>
      </c>
      <c r="F67" s="144">
        <f t="shared" ca="1" si="23"/>
        <v>-45272.9139535781</v>
      </c>
      <c r="G67" s="144">
        <f t="shared" ca="1" si="23"/>
        <v>-64951.126557089388</v>
      </c>
      <c r="I67" s="17" t="s">
        <v>349</v>
      </c>
    </row>
    <row r="68" spans="1:12" ht="4" customHeight="1" x14ac:dyDescent="0.15">
      <c r="A68" s="6"/>
      <c r="B68" s="7"/>
      <c r="C68" s="7"/>
      <c r="D68" s="7"/>
      <c r="E68" s="7"/>
      <c r="F68" s="7"/>
      <c r="G68" s="7"/>
    </row>
    <row r="69" spans="1:12" ht="14" thickBot="1" x14ac:dyDescent="0.2">
      <c r="A69" s="62" t="s">
        <v>350</v>
      </c>
      <c r="B69" s="53">
        <f>B56+B66</f>
        <v>2178140</v>
      </c>
      <c r="C69" s="53">
        <f t="shared" ref="C69:G69" si="24">C56+C66</f>
        <v>2265641.8353453469</v>
      </c>
      <c r="D69" s="53">
        <f t="shared" si="24"/>
        <v>2370432.1992469579</v>
      </c>
      <c r="E69" s="53">
        <f t="shared" si="24"/>
        <v>2493313.18632631</v>
      </c>
      <c r="F69" s="53">
        <f t="shared" si="24"/>
        <v>2634629.0502400529</v>
      </c>
      <c r="G69" s="53">
        <f t="shared" si="24"/>
        <v>2794101.1692551197</v>
      </c>
    </row>
    <row r="70" spans="1:12" ht="15" thickTop="1" thickBot="1" x14ac:dyDescent="0.2"/>
    <row r="71" spans="1:12" ht="15" thickBot="1" x14ac:dyDescent="0.2">
      <c r="A71" s="279" t="s">
        <v>107</v>
      </c>
      <c r="B71" s="279"/>
      <c r="C71" s="279"/>
      <c r="D71" s="279"/>
      <c r="E71" s="279"/>
      <c r="F71" s="279"/>
      <c r="G71" s="279"/>
    </row>
    <row r="72" spans="1:12" x14ac:dyDescent="0.15">
      <c r="A72" s="18" t="s">
        <v>295</v>
      </c>
      <c r="B72" s="140">
        <f>'03_Consolidated_Balance_Sheet_'!N8</f>
        <v>13532</v>
      </c>
      <c r="C72" s="140">
        <f>B72</f>
        <v>13532</v>
      </c>
      <c r="D72" s="140">
        <f t="shared" ref="D72:G72" si="25">C72</f>
        <v>13532</v>
      </c>
      <c r="E72" s="140">
        <f t="shared" si="25"/>
        <v>13532</v>
      </c>
      <c r="F72" s="140">
        <f t="shared" si="25"/>
        <v>13532</v>
      </c>
      <c r="G72" s="140">
        <f t="shared" si="25"/>
        <v>13532</v>
      </c>
    </row>
    <row r="73" spans="1:12" x14ac:dyDescent="0.15">
      <c r="A73" s="18" t="s">
        <v>296</v>
      </c>
      <c r="B73" s="140">
        <f>'03_Consolidated_Balance_Sheet_'!N9</f>
        <v>890498</v>
      </c>
      <c r="C73" s="140">
        <f>B73+C41-7443</f>
        <v>981426.18460104498</v>
      </c>
      <c r="D73" s="140">
        <f t="shared" ref="D73:G73" si="26">C73+D41-7443</f>
        <v>1083697.6538559208</v>
      </c>
      <c r="E73" s="140">
        <f t="shared" si="26"/>
        <v>1197667.4738490174</v>
      </c>
      <c r="F73" s="140">
        <f t="shared" si="26"/>
        <v>1323437.6364726601</v>
      </c>
      <c r="G73" s="140">
        <f t="shared" si="26"/>
        <v>1460825.312017479</v>
      </c>
    </row>
    <row r="74" spans="1:12" x14ac:dyDescent="0.15">
      <c r="A74" s="18" t="s">
        <v>297</v>
      </c>
      <c r="B74" s="140">
        <f ca="1">'08A_Balance_Sheet_Support_Sched'!C19</f>
        <v>181836</v>
      </c>
      <c r="C74" s="140">
        <f ca="1">B74</f>
        <v>181836</v>
      </c>
      <c r="D74" s="140">
        <f t="shared" ref="D74:G74" ca="1" si="27">C74</f>
        <v>181836</v>
      </c>
      <c r="E74" s="140">
        <f t="shared" ca="1" si="27"/>
        <v>181836</v>
      </c>
      <c r="F74" s="140">
        <f t="shared" ca="1" si="27"/>
        <v>181836</v>
      </c>
      <c r="G74" s="140">
        <f t="shared" ca="1" si="27"/>
        <v>181836</v>
      </c>
    </row>
    <row r="75" spans="1:12" ht="5" customHeight="1" x14ac:dyDescent="0.15"/>
    <row r="76" spans="1:12" ht="14" thickBot="1" x14ac:dyDescent="0.2">
      <c r="A76" s="62" t="s">
        <v>298</v>
      </c>
      <c r="B76" s="53">
        <f ca="1">SUM(B72:B74)</f>
        <v>1085866</v>
      </c>
      <c r="C76" s="53">
        <f t="shared" ref="C76:G76" ca="1" si="28">SUM(C72:C74)</f>
        <v>1176794.184601045</v>
      </c>
      <c r="D76" s="53">
        <f t="shared" ca="1" si="28"/>
        <v>1279065.6538559208</v>
      </c>
      <c r="E76" s="53">
        <f t="shared" ca="1" si="28"/>
        <v>1393035.4738490174</v>
      </c>
      <c r="F76" s="53">
        <f t="shared" ca="1" si="28"/>
        <v>1518805.6364726601</v>
      </c>
      <c r="G76" s="53">
        <f t="shared" ca="1" si="28"/>
        <v>1656193.312017479</v>
      </c>
      <c r="J76" s="7"/>
      <c r="K76" s="30"/>
      <c r="L76" s="37"/>
    </row>
    <row r="77" spans="1:12" ht="15" thickTop="1" thickBot="1" x14ac:dyDescent="0.2">
      <c r="J77" s="7"/>
    </row>
    <row r="78" spans="1:12" ht="15" thickBot="1" x14ac:dyDescent="0.2">
      <c r="A78" s="279" t="s">
        <v>112</v>
      </c>
      <c r="B78" s="279"/>
      <c r="C78" s="279"/>
      <c r="D78" s="279"/>
      <c r="E78" s="279"/>
      <c r="F78" s="279"/>
      <c r="G78" s="279"/>
    </row>
    <row r="79" spans="1:12" x14ac:dyDescent="0.15">
      <c r="A79" s="18" t="s">
        <v>299</v>
      </c>
      <c r="B79" s="140">
        <f>'03_Consolidated_Balance_Sheet_'!N14</f>
        <v>270751</v>
      </c>
      <c r="C79" s="140">
        <f>B79*(1-'07_Forecast_assumptions'!C107)</f>
        <v>244404.6930746127</v>
      </c>
      <c r="D79" s="140">
        <f>C79*(1-'07_Forecast_assumptions'!D107)</f>
        <v>220622.0992605591</v>
      </c>
      <c r="E79" s="140">
        <f>D79*(1-'07_Forecast_assumptions'!E107)</f>
        <v>199153.74811267061</v>
      </c>
      <c r="F79" s="140">
        <f>E79*(1-'07_Forecast_assumptions'!F107)</f>
        <v>179774.44471908134</v>
      </c>
      <c r="G79" s="140">
        <f>F79*(1-'07_Forecast_assumptions'!G107)</f>
        <v>162280.90749148111</v>
      </c>
    </row>
    <row r="80" spans="1:12" x14ac:dyDescent="0.15">
      <c r="A80" s="18" t="s">
        <v>300</v>
      </c>
      <c r="B80" s="140">
        <f>'03_Consolidated_Balance_Sheet_'!N15</f>
        <v>16198</v>
      </c>
      <c r="C80" s="143">
        <f>B80</f>
        <v>16198</v>
      </c>
      <c r="D80" s="143">
        <f t="shared" ref="D80:G80" si="29">C80</f>
        <v>16198</v>
      </c>
      <c r="E80" s="143">
        <f t="shared" si="29"/>
        <v>16198</v>
      </c>
      <c r="F80" s="143">
        <f t="shared" si="29"/>
        <v>16198</v>
      </c>
      <c r="G80" s="143">
        <f t="shared" si="29"/>
        <v>16198</v>
      </c>
    </row>
    <row r="81" spans="1:14" x14ac:dyDescent="0.15">
      <c r="A81" s="18" t="s">
        <v>301</v>
      </c>
      <c r="B81" s="140">
        <f>'03_Consolidated_Balance_Sheet_'!N16</f>
        <v>99552</v>
      </c>
      <c r="C81" s="49">
        <f>B81-10000</f>
        <v>89552</v>
      </c>
      <c r="D81" s="49">
        <f t="shared" ref="D81:G81" si="30">C81-10000</f>
        <v>79552</v>
      </c>
      <c r="E81" s="49">
        <f t="shared" si="30"/>
        <v>69552</v>
      </c>
      <c r="F81" s="49">
        <f t="shared" si="30"/>
        <v>59552</v>
      </c>
      <c r="G81" s="49">
        <f t="shared" si="30"/>
        <v>49552</v>
      </c>
      <c r="I81" s="7"/>
      <c r="J81" s="7"/>
      <c r="K81" s="7"/>
      <c r="L81" s="7"/>
      <c r="M81" s="7"/>
      <c r="N81" s="7"/>
    </row>
    <row r="82" spans="1:14" x14ac:dyDescent="0.15">
      <c r="A82" s="18" t="s">
        <v>302</v>
      </c>
      <c r="B82" s="140">
        <f>'03_Consolidated_Balance_Sheet_'!N17</f>
        <v>97961</v>
      </c>
      <c r="C82" s="143">
        <f>B82</f>
        <v>97961</v>
      </c>
      <c r="D82" s="143">
        <f t="shared" ref="D82:G82" si="31">C82</f>
        <v>97961</v>
      </c>
      <c r="E82" s="143">
        <f t="shared" si="31"/>
        <v>97961</v>
      </c>
      <c r="F82" s="143">
        <f t="shared" si="31"/>
        <v>97961</v>
      </c>
      <c r="G82" s="143">
        <f t="shared" si="31"/>
        <v>97961</v>
      </c>
    </row>
    <row r="83" spans="1:14" x14ac:dyDescent="0.15">
      <c r="A83" s="18" t="s">
        <v>303</v>
      </c>
      <c r="B83" s="140">
        <f>'03_Consolidated_Balance_Sheet_'!N18</f>
        <v>66558</v>
      </c>
      <c r="C83" s="143">
        <f>B83</f>
        <v>66558</v>
      </c>
      <c r="D83" s="143">
        <f t="shared" ref="D83:G83" si="32">C83</f>
        <v>66558</v>
      </c>
      <c r="E83" s="143">
        <f t="shared" si="32"/>
        <v>66558</v>
      </c>
      <c r="F83" s="143">
        <f t="shared" si="32"/>
        <v>66558</v>
      </c>
      <c r="G83" s="143">
        <f t="shared" si="32"/>
        <v>66558</v>
      </c>
    </row>
    <row r="84" spans="1:14" ht="4" customHeight="1" x14ac:dyDescent="0.15"/>
    <row r="85" spans="1:14" ht="14" thickBot="1" x14ac:dyDescent="0.2">
      <c r="A85" s="62" t="s">
        <v>304</v>
      </c>
      <c r="B85" s="53">
        <f>SUM(B79:B83)</f>
        <v>551020</v>
      </c>
      <c r="C85" s="53">
        <f t="shared" ref="C85:G85" si="33">SUM(C79:C83)</f>
        <v>514673.6930746127</v>
      </c>
      <c r="D85" s="53">
        <f t="shared" si="33"/>
        <v>480891.09926055907</v>
      </c>
      <c r="E85" s="53">
        <f t="shared" si="33"/>
        <v>449422.74811267061</v>
      </c>
      <c r="F85" s="53">
        <f t="shared" si="33"/>
        <v>420043.44471908134</v>
      </c>
      <c r="G85" s="53">
        <f t="shared" si="33"/>
        <v>392549.90749148111</v>
      </c>
    </row>
    <row r="86" spans="1:14" ht="15" thickTop="1" thickBot="1" x14ac:dyDescent="0.2"/>
    <row r="87" spans="1:14" ht="15" thickBot="1" x14ac:dyDescent="0.2">
      <c r="A87" s="279" t="s">
        <v>119</v>
      </c>
      <c r="B87" s="279"/>
      <c r="C87" s="279"/>
      <c r="D87" s="279"/>
      <c r="E87" s="279"/>
      <c r="F87" s="279"/>
      <c r="G87" s="279"/>
    </row>
    <row r="88" spans="1:14" x14ac:dyDescent="0.15">
      <c r="A88" s="18" t="s">
        <v>305</v>
      </c>
      <c r="B88" s="140">
        <f>'03_Consolidated_Balance_Sheet_'!N22</f>
        <v>103670</v>
      </c>
      <c r="C88" s="140">
        <f>B88</f>
        <v>103670</v>
      </c>
      <c r="D88" s="140">
        <f t="shared" ref="D88:G89" si="34">C88</f>
        <v>103670</v>
      </c>
      <c r="E88" s="140">
        <f t="shared" si="34"/>
        <v>103670</v>
      </c>
      <c r="F88" s="140">
        <f t="shared" si="34"/>
        <v>103670</v>
      </c>
      <c r="G88" s="140">
        <f t="shared" si="34"/>
        <v>103670</v>
      </c>
    </row>
    <row r="89" spans="1:14" x14ac:dyDescent="0.15">
      <c r="A89" s="18" t="s">
        <v>306</v>
      </c>
      <c r="B89" s="140">
        <f>'03_Consolidated_Balance_Sheet_'!N23</f>
        <v>7381</v>
      </c>
      <c r="C89" s="143">
        <f>B89</f>
        <v>7381</v>
      </c>
      <c r="D89" s="143">
        <f t="shared" si="34"/>
        <v>7381</v>
      </c>
      <c r="E89" s="143">
        <f t="shared" si="34"/>
        <v>7381</v>
      </c>
      <c r="F89" s="143">
        <f t="shared" si="34"/>
        <v>7381</v>
      </c>
      <c r="G89" s="143">
        <f t="shared" si="34"/>
        <v>7381</v>
      </c>
    </row>
    <row r="90" spans="1:14" x14ac:dyDescent="0.15">
      <c r="A90" s="18" t="s">
        <v>307</v>
      </c>
      <c r="B90" s="140">
        <f>'08A_Balance_Sheet_Support_Sched'!C13</f>
        <v>158842</v>
      </c>
      <c r="C90" s="22">
        <f>'08A_Balance_Sheet_Support_Sched'!D13</f>
        <v>171124.09641580141</v>
      </c>
      <c r="D90" s="22">
        <f>'08A_Balance_Sheet_Support_Sched'!E13</f>
        <v>183950.68566511103</v>
      </c>
      <c r="E90" s="22">
        <f>'08A_Balance_Sheet_Support_Sched'!F13</f>
        <v>197060.06216105376</v>
      </c>
      <c r="F90" s="22">
        <f>'08A_Balance_Sheet_Support_Sched'!G13</f>
        <v>210257.07032158333</v>
      </c>
      <c r="G90" s="22">
        <f>'08A_Balance_Sheet_Support_Sched'!H13</f>
        <v>223326.68607500973</v>
      </c>
    </row>
    <row r="91" spans="1:14" x14ac:dyDescent="0.15">
      <c r="A91" s="18" t="s">
        <v>308</v>
      </c>
      <c r="B91" s="140">
        <f>'03_Consolidated_Balance_Sheet_'!N25</f>
        <v>64660</v>
      </c>
      <c r="C91" s="143">
        <f t="shared" ref="C91:G91" si="35">B91</f>
        <v>64660</v>
      </c>
      <c r="D91" s="143">
        <f t="shared" si="35"/>
        <v>64660</v>
      </c>
      <c r="E91" s="143">
        <f t="shared" si="35"/>
        <v>64660</v>
      </c>
      <c r="F91" s="143">
        <f t="shared" si="35"/>
        <v>64660</v>
      </c>
      <c r="G91" s="143">
        <f t="shared" si="35"/>
        <v>64660</v>
      </c>
    </row>
    <row r="92" spans="1:14" x14ac:dyDescent="0.15">
      <c r="A92" s="18" t="s">
        <v>309</v>
      </c>
      <c r="B92" s="140">
        <f>'03_Consolidated_Balance_Sheet_'!N26</f>
        <v>201503</v>
      </c>
      <c r="C92" s="22">
        <f>B92*(1+AVERAGE('07_Forecast_assumptions'!$G$23,'07_Forecast_assumptions'!$G$44,'07_Forecast_assumptions'!$G$69,'07_Forecast_assumptions'!$G$88))</f>
        <v>214322.75959066543</v>
      </c>
      <c r="D92" s="22">
        <f>C92*(1+AVERAGE('07_Forecast_assumptions'!$G$23,'07_Forecast_assumptions'!$G$44,'07_Forecast_assumptions'!$G$69,'07_Forecast_assumptions'!$G$88))</f>
        <v>227958.12111262942</v>
      </c>
      <c r="E92" s="22">
        <f>D92*(1+AVERAGE('07_Forecast_assumptions'!$G$23,'07_Forecast_assumptions'!$G$44,'07_Forecast_assumptions'!$G$69,'07_Forecast_assumptions'!$G$88))</f>
        <v>242460.97372228635</v>
      </c>
      <c r="F92" s="22">
        <f>E92*(1+AVERAGE('07_Forecast_assumptions'!$G$23,'07_Forecast_assumptions'!$G$44,'07_Forecast_assumptions'!$G$69,'07_Forecast_assumptions'!$G$88))</f>
        <v>257886.50779988497</v>
      </c>
      <c r="G92" s="22">
        <f>F92*(1+AVERAGE('07_Forecast_assumptions'!$G$23,'07_Forecast_assumptions'!$G$44,'07_Forecast_assumptions'!$G$69,'07_Forecast_assumptions'!$G$88))</f>
        <v>274293.42497566296</v>
      </c>
    </row>
    <row r="93" spans="1:14" x14ac:dyDescent="0.15">
      <c r="A93" s="18" t="s">
        <v>310</v>
      </c>
      <c r="B93" s="140">
        <f>'03_Consolidated_Balance_Sheet_'!N27</f>
        <v>5198</v>
      </c>
      <c r="C93" s="22">
        <f>B93*(1+AVERAGE('07_Forecast_assumptions'!$G$23,'07_Forecast_assumptions'!$G$44,'07_Forecast_assumptions'!$G$69,'07_Forecast_assumptions'!$G$88))</f>
        <v>5528.7003387159439</v>
      </c>
      <c r="D93" s="22">
        <f>C93*(1+AVERAGE('07_Forecast_assumptions'!$G$23,'07_Forecast_assumptions'!$G$44,'07_Forecast_assumptions'!$G$69,'07_Forecast_assumptions'!$G$88))</f>
        <v>5880.4400606613681</v>
      </c>
      <c r="E93" s="22">
        <f>D93*(1+AVERAGE('07_Forecast_assumptions'!$G$23,'07_Forecast_assumptions'!$G$44,'07_Forecast_assumptions'!$G$69,'07_Forecast_assumptions'!$G$88))</f>
        <v>6254.5577058825147</v>
      </c>
      <c r="F93" s="22">
        <f>E93*(1+AVERAGE('07_Forecast_assumptions'!$G$23,'07_Forecast_assumptions'!$G$44,'07_Forecast_assumptions'!$G$69,'07_Forecast_assumptions'!$G$88))</f>
        <v>6652.4769732649247</v>
      </c>
      <c r="G93" s="22">
        <f>F93*(1+AVERAGE('07_Forecast_assumptions'!$G$23,'07_Forecast_assumptions'!$G$44,'07_Forecast_assumptions'!$G$69,'07_Forecast_assumptions'!$G$88))</f>
        <v>7075.7121383974236</v>
      </c>
    </row>
    <row r="94" spans="1:14" ht="6" customHeight="1" x14ac:dyDescent="0.15"/>
    <row r="95" spans="1:14" ht="14" thickBot="1" x14ac:dyDescent="0.2">
      <c r="A95" s="62" t="s">
        <v>311</v>
      </c>
      <c r="B95" s="53">
        <f>SUM(B88:B93)</f>
        <v>541254</v>
      </c>
      <c r="C95" s="53">
        <f t="shared" ref="C95:G95" si="36">SUM(C88:C93)</f>
        <v>566686.55634518282</v>
      </c>
      <c r="D95" s="53">
        <f>SUM(D88:D93)</f>
        <v>593500.24683840189</v>
      </c>
      <c r="E95" s="53">
        <f t="shared" si="36"/>
        <v>621486.59358922252</v>
      </c>
      <c r="F95" s="53">
        <f t="shared" si="36"/>
        <v>650507.05509473325</v>
      </c>
      <c r="G95" s="53">
        <f t="shared" si="36"/>
        <v>680406.8231890701</v>
      </c>
    </row>
    <row r="96" spans="1:14" ht="7" customHeight="1" thickTop="1" x14ac:dyDescent="0.15"/>
    <row r="97" spans="1:7" ht="14" thickBot="1" x14ac:dyDescent="0.2">
      <c r="A97" s="62" t="s">
        <v>312</v>
      </c>
      <c r="B97" s="53">
        <f>B85+B95</f>
        <v>1092274</v>
      </c>
      <c r="C97" s="53">
        <f t="shared" ref="C97:G97" si="37">C85+C95</f>
        <v>1081360.2494197956</v>
      </c>
      <c r="D97" s="53">
        <f t="shared" si="37"/>
        <v>1074391.3460989608</v>
      </c>
      <c r="E97" s="53">
        <f t="shared" si="37"/>
        <v>1070909.3417018931</v>
      </c>
      <c r="F97" s="53">
        <f t="shared" si="37"/>
        <v>1070550.4998138146</v>
      </c>
      <c r="G97" s="53">
        <f t="shared" si="37"/>
        <v>1072956.7306805511</v>
      </c>
    </row>
    <row r="98" spans="1:7" ht="14" thickTop="1" x14ac:dyDescent="0.15"/>
    <row r="99" spans="1:7" ht="14" thickBot="1" x14ac:dyDescent="0.2">
      <c r="A99" s="62" t="s">
        <v>313</v>
      </c>
      <c r="B99" s="53">
        <f ca="1">B97+B76</f>
        <v>2178140</v>
      </c>
      <c r="C99" s="53">
        <f t="shared" ref="C99:G99" ca="1" si="38">C97+C76</f>
        <v>2258154.4340208406</v>
      </c>
      <c r="D99" s="53">
        <f t="shared" ca="1" si="38"/>
        <v>2353456.9999548816</v>
      </c>
      <c r="E99" s="53">
        <f t="shared" ca="1" si="38"/>
        <v>2463944.8155509103</v>
      </c>
      <c r="F99" s="53">
        <f t="shared" ca="1" si="38"/>
        <v>2589356.1362864748</v>
      </c>
      <c r="G99" s="53">
        <f t="shared" ca="1" si="38"/>
        <v>2729150.0426980304</v>
      </c>
    </row>
    <row r="100" spans="1:7" ht="14" thickTop="1" x14ac:dyDescent="0.15"/>
    <row r="101" spans="1:7" ht="14" x14ac:dyDescent="0.15">
      <c r="A101" s="95" t="s">
        <v>351</v>
      </c>
      <c r="B101" s="96">
        <f t="shared" ref="B101:G101" ca="1" si="39">B99-B69-B67</f>
        <v>0</v>
      </c>
      <c r="C101" s="96">
        <f t="shared" ca="1" si="39"/>
        <v>0</v>
      </c>
      <c r="D101" s="96">
        <f t="shared" ca="1" si="39"/>
        <v>0</v>
      </c>
      <c r="E101" s="96">
        <f t="shared" ca="1" si="39"/>
        <v>0</v>
      </c>
      <c r="F101" s="96">
        <f t="shared" ca="1" si="39"/>
        <v>0</v>
      </c>
      <c r="G101" s="96">
        <f t="shared" ca="1" si="39"/>
        <v>0</v>
      </c>
    </row>
    <row r="103" spans="1:7" ht="17" thickBot="1" x14ac:dyDescent="0.2">
      <c r="A103" s="278" t="s">
        <v>314</v>
      </c>
      <c r="B103" s="278"/>
      <c r="C103" s="278"/>
      <c r="D103" s="278"/>
      <c r="E103" s="278"/>
      <c r="F103" s="278"/>
      <c r="G103" s="278"/>
    </row>
    <row r="104" spans="1:7" ht="35" thickBot="1" x14ac:dyDescent="0.2">
      <c r="A104" s="15" t="s">
        <v>255</v>
      </c>
      <c r="B104" s="15" t="s">
        <v>257</v>
      </c>
      <c r="C104" s="15" t="s">
        <v>258</v>
      </c>
      <c r="D104" s="15" t="s">
        <v>259</v>
      </c>
      <c r="E104" s="15" t="s">
        <v>260</v>
      </c>
      <c r="F104" s="15" t="s">
        <v>261</v>
      </c>
      <c r="G104" s="15" t="s">
        <v>262</v>
      </c>
    </row>
    <row r="105" spans="1:7" ht="15" thickBot="1" x14ac:dyDescent="0.2">
      <c r="A105" s="277" t="s">
        <v>315</v>
      </c>
      <c r="B105" s="277"/>
      <c r="C105" s="277"/>
      <c r="D105" s="277"/>
      <c r="E105" s="277"/>
      <c r="F105" s="277"/>
      <c r="G105" s="277"/>
    </row>
    <row r="106" spans="1:7" x14ac:dyDescent="0.15">
      <c r="A106" s="6" t="s">
        <v>316</v>
      </c>
      <c r="B106" s="144">
        <f>B32</f>
        <v>142414</v>
      </c>
      <c r="C106" s="145">
        <f>C32</f>
        <v>158523.84852991166</v>
      </c>
      <c r="D106" s="145">
        <f t="shared" ref="D106:G106" si="40">D32</f>
        <v>176830.84789730847</v>
      </c>
      <c r="E106" s="145">
        <f t="shared" si="40"/>
        <v>195698.57529603125</v>
      </c>
      <c r="F106" s="145">
        <f t="shared" si="40"/>
        <v>214712.8004348765</v>
      </c>
      <c r="G106" s="145">
        <f t="shared" si="40"/>
        <v>233407.37467498507</v>
      </c>
    </row>
    <row r="107" spans="1:7" x14ac:dyDescent="0.15">
      <c r="A107" s="6" t="s">
        <v>317</v>
      </c>
      <c r="B107" s="144">
        <f>B27</f>
        <v>57688</v>
      </c>
      <c r="C107" s="144">
        <f t="shared" ref="C107:G107" si="41">C27</f>
        <v>62014.6</v>
      </c>
      <c r="D107" s="144">
        <f t="shared" si="41"/>
        <v>66665.694999999992</v>
      </c>
      <c r="E107" s="144">
        <f t="shared" si="41"/>
        <v>71665.622124999994</v>
      </c>
      <c r="F107" s="144">
        <f t="shared" si="41"/>
        <v>77040.543784374997</v>
      </c>
      <c r="G107" s="144">
        <f t="shared" si="41"/>
        <v>82818.584568203121</v>
      </c>
    </row>
    <row r="108" spans="1:7" x14ac:dyDescent="0.15">
      <c r="A108" s="6" t="s">
        <v>318</v>
      </c>
      <c r="B108" s="144">
        <f>-B29</f>
        <v>27061</v>
      </c>
      <c r="C108" s="144">
        <f t="shared" ref="C108:G108" si="42">-C29</f>
        <v>29694.258646165315</v>
      </c>
      <c r="D108" s="144">
        <f t="shared" si="42"/>
        <v>32583.755092027775</v>
      </c>
      <c r="E108" s="144">
        <f t="shared" si="42"/>
        <v>35754.423390339565</v>
      </c>
      <c r="F108" s="144">
        <f t="shared" si="42"/>
        <v>39233.623882977205</v>
      </c>
      <c r="G108" s="144">
        <f t="shared" si="42"/>
        <v>43051.379298898559</v>
      </c>
    </row>
    <row r="109" spans="1:7" x14ac:dyDescent="0.15">
      <c r="A109" s="6" t="s">
        <v>319</v>
      </c>
      <c r="B109" s="144">
        <f>B34</f>
        <v>-27552</v>
      </c>
      <c r="C109" s="144">
        <f t="shared" ref="C109:G109" si="43">C34</f>
        <v>-39900.452674978769</v>
      </c>
      <c r="D109" s="144">
        <f t="shared" si="43"/>
        <v>-44508.324415752541</v>
      </c>
      <c r="E109" s="144">
        <f t="shared" si="43"/>
        <v>-49257.33140201107</v>
      </c>
      <c r="F109" s="144">
        <f t="shared" si="43"/>
        <v>-54043.211869458413</v>
      </c>
      <c r="G109" s="144">
        <f t="shared" si="43"/>
        <v>-58748.636205693743</v>
      </c>
    </row>
    <row r="110" spans="1:7" ht="4" customHeight="1" x14ac:dyDescent="0.15"/>
    <row r="111" spans="1:7" ht="14" thickBot="1" x14ac:dyDescent="0.2">
      <c r="A111" s="62" t="s">
        <v>320</v>
      </c>
      <c r="B111" s="53">
        <f>SUM(B106:B109)</f>
        <v>199611</v>
      </c>
      <c r="C111" s="53">
        <f t="shared" ref="C111:G111" si="44">SUM(C106:C109)</f>
        <v>210332.25450109821</v>
      </c>
      <c r="D111" s="53">
        <f t="shared" si="44"/>
        <v>231571.9735735837</v>
      </c>
      <c r="E111" s="53">
        <f t="shared" si="44"/>
        <v>253861.28940935971</v>
      </c>
      <c r="F111" s="53">
        <f t="shared" si="44"/>
        <v>276943.75623277028</v>
      </c>
      <c r="G111" s="53">
        <f t="shared" si="44"/>
        <v>300528.70233639301</v>
      </c>
    </row>
    <row r="112" spans="1:7" ht="15" thickTop="1" thickBot="1" x14ac:dyDescent="0.2"/>
    <row r="113" spans="1:7" ht="15" thickBot="1" x14ac:dyDescent="0.2">
      <c r="A113" s="277" t="s">
        <v>321</v>
      </c>
      <c r="B113" s="277"/>
      <c r="C113" s="277"/>
      <c r="D113" s="277"/>
      <c r="E113" s="277"/>
      <c r="F113" s="277"/>
      <c r="G113" s="277"/>
    </row>
    <row r="114" spans="1:7" x14ac:dyDescent="0.15">
      <c r="A114" t="str">
        <f>A111</f>
        <v>Operating Profit Before Working Capital Changes</v>
      </c>
      <c r="B114" s="144">
        <f>B111</f>
        <v>199611</v>
      </c>
      <c r="C114" s="144">
        <f t="shared" ref="C114:G114" si="45">C111</f>
        <v>210332.25450109821</v>
      </c>
      <c r="D114" s="144">
        <f t="shared" si="45"/>
        <v>231571.9735735837</v>
      </c>
      <c r="E114" s="144">
        <f t="shared" si="45"/>
        <v>253861.28940935971</v>
      </c>
      <c r="F114" s="144">
        <f t="shared" si="45"/>
        <v>276943.75623277028</v>
      </c>
      <c r="G114" s="144">
        <f t="shared" si="45"/>
        <v>300528.70233639301</v>
      </c>
    </row>
    <row r="115" spans="1:7" x14ac:dyDescent="0.15">
      <c r="A115" s="6" t="s">
        <v>322</v>
      </c>
      <c r="B115" s="131">
        <f>-('03_Consolidated_Balance_Sheet_'!F19-'03_Consolidated_Balance_Sheet_'!E19)</f>
        <v>-20879</v>
      </c>
      <c r="C115" s="144">
        <f>B59-C59</f>
        <v>-13056.197711435525</v>
      </c>
      <c r="D115" s="144">
        <f t="shared" ref="D115:G115" si="46">C59-D59</f>
        <v>-13491.671654829377</v>
      </c>
      <c r="E115" s="144">
        <f t="shared" si="46"/>
        <v>-13789.121943880513</v>
      </c>
      <c r="F115" s="144">
        <f t="shared" si="46"/>
        <v>-13881.297472557024</v>
      </c>
      <c r="G115" s="144">
        <f t="shared" si="46"/>
        <v>-13747.299533233687</v>
      </c>
    </row>
    <row r="116" spans="1:7" x14ac:dyDescent="0.15">
      <c r="A116" s="6" t="s">
        <v>323</v>
      </c>
      <c r="B116" s="131">
        <f>'03_Consolidated_Balance_Sheet_'!E21-'03_Consolidated_Balance_Sheet_'!F21</f>
        <v>-16370</v>
      </c>
      <c r="C116" s="144">
        <f>B61-C61</f>
        <v>-4888.2949688153385</v>
      </c>
      <c r="D116" s="144">
        <f t="shared" ref="D116:G116" si="47">C61-D61</f>
        <v>-4750.5886108554041</v>
      </c>
      <c r="E116" s="144">
        <f t="shared" si="47"/>
        <v>-4855.324628126953</v>
      </c>
      <c r="F116" s="144">
        <f t="shared" si="47"/>
        <v>-4887.7808001961239</v>
      </c>
      <c r="G116" s="144">
        <f t="shared" si="47"/>
        <v>-4840.598427194971</v>
      </c>
    </row>
    <row r="117" spans="1:7" x14ac:dyDescent="0.15">
      <c r="A117" s="6" t="s">
        <v>324</v>
      </c>
      <c r="B117" s="131">
        <f>-('03_Consolidated_Balance_Sheet_'!N24-'03_Consolidated_Balance_Sheet_'!M24)</f>
        <v>27947</v>
      </c>
      <c r="C117" s="144">
        <f>C90-B90</f>
        <v>12282.09641580141</v>
      </c>
      <c r="D117" s="144">
        <f t="shared" ref="D117:G117" si="48">D90-C90</f>
        <v>12826.589249309618</v>
      </c>
      <c r="E117" s="144">
        <f t="shared" si="48"/>
        <v>13109.376495942735</v>
      </c>
      <c r="F117" s="144">
        <f t="shared" si="48"/>
        <v>13197.008160529571</v>
      </c>
      <c r="G117" s="144">
        <f t="shared" si="48"/>
        <v>13069.615753426391</v>
      </c>
    </row>
    <row r="118" spans="1:7" ht="4" customHeight="1" x14ac:dyDescent="0.15"/>
    <row r="119" spans="1:7" ht="14" thickBot="1" x14ac:dyDescent="0.2">
      <c r="A119" s="62" t="s">
        <v>325</v>
      </c>
      <c r="B119" s="53">
        <f>SUM(B114:B117)</f>
        <v>190309</v>
      </c>
      <c r="C119" s="53">
        <f t="shared" ref="C119:G119" si="49">SUM(C114:C117)</f>
        <v>204669.85823664875</v>
      </c>
      <c r="D119" s="53">
        <f t="shared" si="49"/>
        <v>226156.30255720855</v>
      </c>
      <c r="E119" s="53">
        <f t="shared" si="49"/>
        <v>248326.21933329498</v>
      </c>
      <c r="F119" s="53">
        <f t="shared" si="49"/>
        <v>271371.68612054666</v>
      </c>
      <c r="G119" s="53">
        <f t="shared" si="49"/>
        <v>295010.42012939072</v>
      </c>
    </row>
    <row r="120" spans="1:7" ht="15" thickTop="1" thickBot="1" x14ac:dyDescent="0.2"/>
    <row r="121" spans="1:7" ht="15" thickBot="1" x14ac:dyDescent="0.2">
      <c r="A121" s="277" t="s">
        <v>326</v>
      </c>
      <c r="B121" s="277"/>
      <c r="C121" s="277"/>
      <c r="D121" s="277"/>
      <c r="E121" s="277"/>
      <c r="F121" s="277"/>
      <c r="G121" s="277"/>
    </row>
    <row r="122" spans="1:7" x14ac:dyDescent="0.15">
      <c r="A122" s="6" t="s">
        <v>327</v>
      </c>
      <c r="B122" s="146">
        <f>'04_Consolidated_Cash_Flow'!F8</f>
        <v>-122916</v>
      </c>
      <c r="C122" s="147">
        <f>B122*(1+'07_Forecast_assumptions'!C106)</f>
        <v>-131813.12251520113</v>
      </c>
      <c r="D122" s="147">
        <f>C122*(1+'07_Forecast_assumptions'!D106)</f>
        <v>-139446.02628772196</v>
      </c>
      <c r="E122" s="147">
        <f>D122*(1+'07_Forecast_assumptions'!E106)</f>
        <v>-145905.94821236553</v>
      </c>
      <c r="F122" s="147">
        <f>E122*(1+'07_Forecast_assumptions'!F106)</f>
        <v>-151313.29359973827</v>
      </c>
      <c r="G122" s="147">
        <f>F122*(1+'07_Forecast_assumptions'!G106)</f>
        <v>-103523.23071025391</v>
      </c>
    </row>
    <row r="123" spans="1:7" x14ac:dyDescent="0.15">
      <c r="A123" s="6" t="s">
        <v>328</v>
      </c>
      <c r="B123" s="144">
        <v>0</v>
      </c>
      <c r="C123" s="144">
        <v>0</v>
      </c>
      <c r="D123" s="144">
        <v>0</v>
      </c>
      <c r="E123" s="144">
        <v>0</v>
      </c>
      <c r="F123" s="144">
        <v>0</v>
      </c>
      <c r="G123" s="144">
        <v>0</v>
      </c>
    </row>
    <row r="124" spans="1:7" ht="4" customHeight="1" x14ac:dyDescent="0.15"/>
    <row r="125" spans="1:7" ht="14" thickBot="1" x14ac:dyDescent="0.2">
      <c r="A125" s="62" t="s">
        <v>329</v>
      </c>
      <c r="B125" s="53">
        <f t="shared" ref="B125:G125" si="50">SUM(B122:B123)</f>
        <v>-122916</v>
      </c>
      <c r="C125" s="53">
        <f t="shared" si="50"/>
        <v>-131813.12251520113</v>
      </c>
      <c r="D125" s="53">
        <f t="shared" si="50"/>
        <v>-139446.02628772196</v>
      </c>
      <c r="E125" s="53">
        <f t="shared" si="50"/>
        <v>-145905.94821236553</v>
      </c>
      <c r="F125" s="53">
        <f t="shared" si="50"/>
        <v>-151313.29359973827</v>
      </c>
      <c r="G125" s="53">
        <f t="shared" si="50"/>
        <v>-103523.23071025391</v>
      </c>
    </row>
    <row r="126" spans="1:7" ht="15" thickTop="1" thickBot="1" x14ac:dyDescent="0.2"/>
    <row r="127" spans="1:7" ht="15" thickBot="1" x14ac:dyDescent="0.2">
      <c r="A127" s="277" t="s">
        <v>330</v>
      </c>
      <c r="B127" s="277"/>
      <c r="C127" s="277"/>
      <c r="D127" s="277"/>
      <c r="E127" s="277"/>
      <c r="F127" s="277"/>
      <c r="G127" s="277"/>
    </row>
    <row r="128" spans="1:7" x14ac:dyDescent="0.15">
      <c r="A128" s="6" t="s">
        <v>331</v>
      </c>
      <c r="B128" s="147">
        <f>B79-'03_Consolidated_Balance_Sheet_'!M14</f>
        <v>33852</v>
      </c>
      <c r="C128" s="147">
        <f>C79-B79</f>
        <v>-26346.306925387296</v>
      </c>
      <c r="D128" s="147">
        <f>D79-C79</f>
        <v>-23782.593814053602</v>
      </c>
      <c r="E128" s="147">
        <f>E79-D79</f>
        <v>-21468.35114788849</v>
      </c>
      <c r="F128" s="147">
        <f>F79-E79</f>
        <v>-19379.303393589274</v>
      </c>
      <c r="G128" s="147">
        <f>G79-F79</f>
        <v>-17493.537227600231</v>
      </c>
    </row>
    <row r="129" spans="1:7" x14ac:dyDescent="0.15">
      <c r="A129" s="6" t="s">
        <v>332</v>
      </c>
      <c r="B129" s="144">
        <f>B49-B49</f>
        <v>0</v>
      </c>
      <c r="C129" s="144">
        <f>C49-B49</f>
        <v>0</v>
      </c>
      <c r="D129" s="144">
        <f>D49-C49</f>
        <v>0</v>
      </c>
      <c r="E129" s="144">
        <f>E49-D49</f>
        <v>0</v>
      </c>
      <c r="F129" s="144">
        <f>F49-E49</f>
        <v>0</v>
      </c>
      <c r="G129" s="144">
        <f>G49-F49</f>
        <v>0</v>
      </c>
    </row>
    <row r="130" spans="1:7" x14ac:dyDescent="0.15">
      <c r="A130" s="6" t="s">
        <v>333</v>
      </c>
      <c r="B130" s="147">
        <f t="shared" ref="B130:G130" si="51">B29</f>
        <v>-27061</v>
      </c>
      <c r="C130" s="147">
        <f t="shared" si="51"/>
        <v>-29694.258646165315</v>
      </c>
      <c r="D130" s="147">
        <f t="shared" si="51"/>
        <v>-32583.755092027775</v>
      </c>
      <c r="E130" s="147">
        <f t="shared" si="51"/>
        <v>-35754.423390339565</v>
      </c>
      <c r="F130" s="147">
        <f t="shared" si="51"/>
        <v>-39233.623882977205</v>
      </c>
      <c r="G130" s="147">
        <f t="shared" si="51"/>
        <v>-43051.379298898559</v>
      </c>
    </row>
    <row r="131" spans="1:7" x14ac:dyDescent="0.15">
      <c r="A131" s="6" t="s">
        <v>334</v>
      </c>
      <c r="B131" s="147">
        <f>'04_Consolidated_Cash_Flow'!F13</f>
        <v>-7443</v>
      </c>
      <c r="C131" s="147">
        <f>B131</f>
        <v>-7443</v>
      </c>
      <c r="D131" s="147">
        <f t="shared" ref="D131:G131" si="52">C131</f>
        <v>-7443</v>
      </c>
      <c r="E131" s="147">
        <f t="shared" si="52"/>
        <v>-7443</v>
      </c>
      <c r="F131" s="147">
        <f t="shared" si="52"/>
        <v>-7443</v>
      </c>
      <c r="G131" s="147">
        <f t="shared" si="52"/>
        <v>-7443</v>
      </c>
    </row>
    <row r="132" spans="1:7" ht="5" customHeight="1" x14ac:dyDescent="0.15"/>
    <row r="133" spans="1:7" ht="14" thickBot="1" x14ac:dyDescent="0.2">
      <c r="A133" s="62" t="s">
        <v>335</v>
      </c>
      <c r="B133" s="53">
        <f>SUM(B128:B131)</f>
        <v>-652</v>
      </c>
      <c r="C133" s="53">
        <f t="shared" ref="C133:G133" si="53">SUM(C128:C131)</f>
        <v>-63483.565571552608</v>
      </c>
      <c r="D133" s="53">
        <f t="shared" si="53"/>
        <v>-63809.348906081374</v>
      </c>
      <c r="E133" s="53">
        <f t="shared" si="53"/>
        <v>-64665.774538228055</v>
      </c>
      <c r="F133" s="53">
        <f t="shared" si="53"/>
        <v>-66055.927276566479</v>
      </c>
      <c r="G133" s="53">
        <f t="shared" si="53"/>
        <v>-67987.916526498797</v>
      </c>
    </row>
    <row r="134" spans="1:7" ht="15" thickTop="1" thickBot="1" x14ac:dyDescent="0.2"/>
    <row r="135" spans="1:7" ht="15" thickBot="1" x14ac:dyDescent="0.2">
      <c r="A135" s="277" t="s">
        <v>336</v>
      </c>
      <c r="B135" s="277"/>
      <c r="C135" s="277"/>
      <c r="D135" s="277"/>
      <c r="E135" s="277"/>
      <c r="F135" s="277"/>
      <c r="G135" s="277"/>
    </row>
    <row r="136" spans="1:7" x14ac:dyDescent="0.15">
      <c r="A136" s="6" t="s">
        <v>337</v>
      </c>
      <c r="B136" s="148" t="s">
        <v>146</v>
      </c>
      <c r="C136" s="144">
        <f>C119+C125+C133</f>
        <v>9373.1701498950133</v>
      </c>
      <c r="D136" s="144">
        <f>D119+D125+D133</f>
        <v>22900.927363405208</v>
      </c>
      <c r="E136" s="144">
        <f>E119+E125+E133</f>
        <v>37754.496582701395</v>
      </c>
      <c r="F136" s="144">
        <f>F119+F125+F133</f>
        <v>54002.465244241903</v>
      </c>
      <c r="G136" s="144">
        <f>G119+G125+G133</f>
        <v>123499.27289263802</v>
      </c>
    </row>
    <row r="137" spans="1:7" x14ac:dyDescent="0.15">
      <c r="A137" s="6" t="s">
        <v>137</v>
      </c>
      <c r="B137" s="148" t="s">
        <v>146</v>
      </c>
      <c r="C137" s="144">
        <f>B139</f>
        <v>145977</v>
      </c>
      <c r="D137" s="144">
        <f t="shared" ref="D137:G137" si="54">C139</f>
        <v>155350.17014989501</v>
      </c>
      <c r="E137" s="144">
        <f t="shared" si="54"/>
        <v>178251.09751330022</v>
      </c>
      <c r="F137" s="144">
        <f t="shared" si="54"/>
        <v>216005.59409600162</v>
      </c>
      <c r="G137" s="144">
        <f t="shared" si="54"/>
        <v>270008.05934024352</v>
      </c>
    </row>
    <row r="138" spans="1:7" ht="6" customHeight="1" x14ac:dyDescent="0.15"/>
    <row r="139" spans="1:7" ht="14" thickBot="1" x14ac:dyDescent="0.2">
      <c r="A139" s="62" t="s">
        <v>139</v>
      </c>
      <c r="B139" s="53">
        <v>145977</v>
      </c>
      <c r="C139" s="53">
        <f t="shared" ref="C139:G139" si="55">SUM(C136:C137)</f>
        <v>155350.17014989501</v>
      </c>
      <c r="D139" s="53">
        <f t="shared" si="55"/>
        <v>178251.09751330022</v>
      </c>
      <c r="E139" s="53">
        <f t="shared" si="55"/>
        <v>216005.59409600162</v>
      </c>
      <c r="F139" s="53">
        <f t="shared" si="55"/>
        <v>270008.05934024352</v>
      </c>
      <c r="G139" s="53">
        <f t="shared" si="55"/>
        <v>393507.33223288157</v>
      </c>
    </row>
    <row r="140" spans="1:7" ht="14" thickTop="1" x14ac:dyDescent="0.15"/>
  </sheetData>
  <mergeCells count="16">
    <mergeCell ref="A113:G113"/>
    <mergeCell ref="A121:G121"/>
    <mergeCell ref="A127:G127"/>
    <mergeCell ref="A135:G135"/>
    <mergeCell ref="A58:G58"/>
    <mergeCell ref="A71:G71"/>
    <mergeCell ref="A78:G78"/>
    <mergeCell ref="A87:G87"/>
    <mergeCell ref="A103:G103"/>
    <mergeCell ref="A105:G105"/>
    <mergeCell ref="A46:G46"/>
    <mergeCell ref="A5:G5"/>
    <mergeCell ref="A7:G7"/>
    <mergeCell ref="A16:G16"/>
    <mergeCell ref="A25:G25"/>
    <mergeCell ref="A44:G44"/>
  </mergeCells>
  <pageMargins left="0.7" right="0.7" top="0.75" bottom="0.75" header="0.3" footer="0.3"/>
  <ignoredErrors>
    <ignoredError sqref="C81:G81 D92:G92 C73:G73 C90:G90"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49293-F8DC-244C-AB18-0F1EFE51C0DB}">
  <dimension ref="B3:H25"/>
  <sheetViews>
    <sheetView showGridLines="0" zoomScale="116" workbookViewId="0">
      <selection activeCell="B1" sqref="B1"/>
    </sheetView>
  </sheetViews>
  <sheetFormatPr baseColWidth="10" defaultRowHeight="13" x14ac:dyDescent="0.15"/>
  <cols>
    <col min="1" max="1" width="3.1640625" customWidth="1"/>
    <col min="2" max="2" width="23.1640625" customWidth="1"/>
    <col min="4" max="5" width="11.6640625" bestFit="1" customWidth="1"/>
  </cols>
  <sheetData>
    <row r="3" spans="2:8" ht="35" thickBot="1" x14ac:dyDescent="0.2">
      <c r="B3" s="15" t="s">
        <v>255</v>
      </c>
      <c r="C3" s="15" t="s">
        <v>257</v>
      </c>
      <c r="D3" s="15" t="s">
        <v>258</v>
      </c>
      <c r="E3" s="15" t="s">
        <v>259</v>
      </c>
      <c r="F3" s="15" t="s">
        <v>260</v>
      </c>
      <c r="G3" s="15" t="s">
        <v>261</v>
      </c>
      <c r="H3" s="15" t="s">
        <v>262</v>
      </c>
    </row>
    <row r="4" spans="2:8" ht="15" thickBot="1" x14ac:dyDescent="0.2">
      <c r="B4" s="277" t="s">
        <v>338</v>
      </c>
      <c r="C4" s="277"/>
      <c r="D4" s="277"/>
      <c r="E4" s="277"/>
      <c r="F4" s="277"/>
      <c r="G4" s="277"/>
      <c r="H4" s="277"/>
    </row>
    <row r="5" spans="2:8" x14ac:dyDescent="0.15">
      <c r="B5" s="18" t="s">
        <v>339</v>
      </c>
      <c r="C5" s="27" t="s">
        <v>146</v>
      </c>
      <c r="D5" s="22">
        <v>751087</v>
      </c>
      <c r="E5" s="22">
        <v>820886</v>
      </c>
      <c r="F5" s="22">
        <v>894585</v>
      </c>
      <c r="G5" s="22">
        <v>971340</v>
      </c>
      <c r="H5" s="22">
        <v>1050124</v>
      </c>
    </row>
    <row r="6" spans="2:8" x14ac:dyDescent="0.15">
      <c r="B6" s="18" t="s">
        <v>347</v>
      </c>
      <c r="C6" s="22">
        <f>C24</f>
        <v>0</v>
      </c>
      <c r="D6" s="22">
        <f>-'08_Three_Statement_Projections'!C122</f>
        <v>131813.12251520113</v>
      </c>
      <c r="E6" s="22">
        <f>-'08_Three_Statement_Projections'!D122</f>
        <v>139446.02628772196</v>
      </c>
      <c r="F6" s="22">
        <f>-'08_Three_Statement_Projections'!E122</f>
        <v>145905.94821236553</v>
      </c>
      <c r="G6" s="22">
        <f>-'08_Three_Statement_Projections'!F122</f>
        <v>151313.29359973827</v>
      </c>
      <c r="H6" s="22">
        <f>-'08_Three_Statement_Projections'!G122</f>
        <v>103523.23071025391</v>
      </c>
    </row>
    <row r="7" spans="2:8" x14ac:dyDescent="0.15">
      <c r="B7" s="18" t="s">
        <v>340</v>
      </c>
      <c r="C7" s="22">
        <f>-'08_Three_Statement_Projections'!B27</f>
        <v>-57688</v>
      </c>
      <c r="D7" s="22">
        <f>-'08_Three_Statement_Projections'!C27</f>
        <v>-62014.6</v>
      </c>
      <c r="E7" s="22">
        <f>-'08_Three_Statement_Projections'!D27</f>
        <v>-66665.694999999992</v>
      </c>
      <c r="F7" s="22">
        <f>-'08_Three_Statement_Projections'!E27</f>
        <v>-71665.622124999994</v>
      </c>
      <c r="G7" s="22">
        <f>-'08_Three_Statement_Projections'!F27</f>
        <v>-77040.543784374997</v>
      </c>
      <c r="H7" s="22">
        <f>-'08_Three_Statement_Projections'!G27</f>
        <v>-82818.584568203121</v>
      </c>
    </row>
    <row r="8" spans="2:8" x14ac:dyDescent="0.15">
      <c r="B8" s="18" t="s">
        <v>341</v>
      </c>
      <c r="C8" s="22">
        <f>D5</f>
        <v>751087</v>
      </c>
      <c r="D8" s="22">
        <f>D5+D6+D7</f>
        <v>820885.52251520113</v>
      </c>
      <c r="E8" s="22">
        <f t="shared" ref="E8:H8" si="0">E5+E6+E7</f>
        <v>893666.33128772199</v>
      </c>
      <c r="F8" s="22">
        <f t="shared" si="0"/>
        <v>968825.32608736551</v>
      </c>
      <c r="G8" s="22">
        <f t="shared" si="0"/>
        <v>1045612.7498153633</v>
      </c>
      <c r="H8" s="22">
        <f t="shared" si="0"/>
        <v>1070828.6461420506</v>
      </c>
    </row>
    <row r="9" spans="2:8" ht="14" thickBot="1" x14ac:dyDescent="0.2"/>
    <row r="10" spans="2:8" ht="15" thickBot="1" x14ac:dyDescent="0.2">
      <c r="B10" s="277" t="s">
        <v>342</v>
      </c>
      <c r="C10" s="277"/>
      <c r="D10" s="277"/>
      <c r="E10" s="277"/>
      <c r="F10" s="277"/>
      <c r="G10" s="277"/>
      <c r="H10" s="277"/>
    </row>
    <row r="11" spans="2:8" x14ac:dyDescent="0.15">
      <c r="B11" s="18" t="s">
        <v>84</v>
      </c>
      <c r="C11" s="22">
        <f>'03_Consolidated_Balance_Sheet_'!F19</f>
        <v>166941</v>
      </c>
      <c r="D11" s="22">
        <f>'08_Three_Statement_Projections'!C14*14.2%</f>
        <v>179997.19771143552</v>
      </c>
      <c r="E11" s="22">
        <f>'08_Three_Statement_Projections'!D14*14.2%</f>
        <v>193488.8693662649</v>
      </c>
      <c r="F11" s="22">
        <f>'08_Three_Statement_Projections'!E14*14.2%</f>
        <v>207277.99131014541</v>
      </c>
      <c r="G11" s="22">
        <f>'08_Three_Statement_Projections'!F14*14.2%</f>
        <v>221159.28878270244</v>
      </c>
      <c r="H11" s="22">
        <f>'08_Three_Statement_Projections'!G14*14.2%</f>
        <v>234906.58831593613</v>
      </c>
    </row>
    <row r="12" spans="2:8" x14ac:dyDescent="0.15">
      <c r="B12" s="18" t="s">
        <v>85</v>
      </c>
      <c r="C12" s="22">
        <f>'03_Consolidated_Balance_Sheet_'!F21</f>
        <v>58491</v>
      </c>
      <c r="D12" s="22">
        <f>'08_Three_Statement_Projections'!C14*5%</f>
        <v>63379.294968815339</v>
      </c>
      <c r="E12" s="22">
        <f>'08_Three_Statement_Projections'!D14*5%</f>
        <v>68129.883579670743</v>
      </c>
      <c r="F12" s="22">
        <f>'08_Three_Statement_Projections'!E14*5%</f>
        <v>72985.208207797696</v>
      </c>
      <c r="G12" s="22">
        <f>'08_Three_Statement_Projections'!F14*5%</f>
        <v>77872.98900799382</v>
      </c>
      <c r="H12" s="22">
        <f>'08_Three_Statement_Projections'!G14*5%</f>
        <v>82713.587435188791</v>
      </c>
    </row>
    <row r="13" spans="2:8" x14ac:dyDescent="0.15">
      <c r="B13" s="18" t="s">
        <v>307</v>
      </c>
      <c r="C13" s="22">
        <f>'03_Consolidated_Balance_Sheet_'!N24</f>
        <v>158842</v>
      </c>
      <c r="D13" s="22">
        <f>'08_Three_Statement_Projections'!C14*13.5%</f>
        <v>171124.09641580141</v>
      </c>
      <c r="E13" s="22">
        <f>'08_Three_Statement_Projections'!D14*13.5%</f>
        <v>183950.68566511103</v>
      </c>
      <c r="F13" s="22">
        <f>'08_Three_Statement_Projections'!E14*13.5%</f>
        <v>197060.06216105376</v>
      </c>
      <c r="G13" s="22">
        <f>'08_Three_Statement_Projections'!F14*13.5%</f>
        <v>210257.07032158333</v>
      </c>
      <c r="H13" s="22">
        <f>'08_Three_Statement_Projections'!G14*13.5%</f>
        <v>223326.68607500973</v>
      </c>
    </row>
    <row r="15" spans="2:8" ht="14" thickBot="1" x14ac:dyDescent="0.2"/>
    <row r="16" spans="2:8" ht="15" thickBot="1" x14ac:dyDescent="0.2">
      <c r="B16" s="277" t="s">
        <v>343</v>
      </c>
      <c r="C16" s="277"/>
      <c r="D16" s="277"/>
      <c r="E16" s="277"/>
      <c r="F16" s="277"/>
      <c r="G16" s="277"/>
      <c r="H16" s="277"/>
    </row>
    <row r="17" spans="2:8" x14ac:dyDescent="0.15">
      <c r="B17" s="18" t="s">
        <v>344</v>
      </c>
      <c r="C17" s="22">
        <f ca="1">'08_Three_Statement_Projections'!B74</f>
        <v>181836</v>
      </c>
      <c r="D17" s="22">
        <f ca="1">C19</f>
        <v>181836</v>
      </c>
      <c r="E17" s="22">
        <f t="shared" ref="E17:H17" ca="1" si="1">D19</f>
        <v>202088</v>
      </c>
      <c r="F17" s="22">
        <f t="shared" ca="1" si="1"/>
        <v>224697</v>
      </c>
      <c r="G17" s="22">
        <f t="shared" ca="1" si="1"/>
        <v>249725</v>
      </c>
      <c r="H17" s="22">
        <f t="shared" ca="1" si="1"/>
        <v>277182</v>
      </c>
    </row>
    <row r="18" spans="2:8" x14ac:dyDescent="0.15">
      <c r="B18" s="18" t="s">
        <v>345</v>
      </c>
      <c r="C18" s="35" t="s">
        <v>146</v>
      </c>
      <c r="D18" s="22">
        <v>20252</v>
      </c>
      <c r="E18" s="22">
        <v>22609</v>
      </c>
      <c r="F18" s="22">
        <v>25028</v>
      </c>
      <c r="G18" s="22">
        <v>27457</v>
      </c>
      <c r="H18" s="22">
        <v>29828</v>
      </c>
    </row>
    <row r="19" spans="2:8" x14ac:dyDescent="0.15">
      <c r="B19" s="18" t="s">
        <v>346</v>
      </c>
      <c r="C19" s="22">
        <f ca="1">SUM(C17:C18)</f>
        <v>181836</v>
      </c>
      <c r="D19" s="22">
        <f t="shared" ref="D19:H19" ca="1" si="2">SUM(D17:D18)</f>
        <v>202088</v>
      </c>
      <c r="E19" s="22">
        <f t="shared" ca="1" si="2"/>
        <v>224697</v>
      </c>
      <c r="F19" s="22">
        <f t="shared" ca="1" si="2"/>
        <v>249725</v>
      </c>
      <c r="G19" s="22">
        <f t="shared" ca="1" si="2"/>
        <v>277182</v>
      </c>
      <c r="H19" s="22">
        <f t="shared" ca="1" si="2"/>
        <v>307010</v>
      </c>
    </row>
    <row r="20" spans="2:8" x14ac:dyDescent="0.15">
      <c r="D20" s="8"/>
    </row>
    <row r="21" spans="2:8" ht="14" x14ac:dyDescent="0.15">
      <c r="B21" s="280"/>
      <c r="C21" s="280"/>
      <c r="D21" s="280"/>
      <c r="E21" s="280"/>
      <c r="F21" s="280"/>
      <c r="G21" s="280"/>
      <c r="H21" s="280"/>
    </row>
    <row r="22" spans="2:8" x14ac:dyDescent="0.15">
      <c r="B22" s="6"/>
      <c r="C22" s="6"/>
      <c r="D22" s="7"/>
      <c r="E22" s="7"/>
      <c r="F22" s="7"/>
      <c r="G22" s="7"/>
      <c r="H22" s="7"/>
    </row>
    <row r="23" spans="2:8" x14ac:dyDescent="0.15">
      <c r="B23" s="6"/>
      <c r="C23" s="6"/>
      <c r="D23" s="198"/>
      <c r="E23" s="198"/>
      <c r="F23" s="198"/>
      <c r="G23" s="198"/>
      <c r="H23" s="198"/>
    </row>
    <row r="24" spans="2:8" x14ac:dyDescent="0.15">
      <c r="B24" s="6"/>
      <c r="C24" s="6"/>
      <c r="D24" s="30"/>
      <c r="E24" s="30"/>
      <c r="F24" s="30"/>
      <c r="G24" s="30"/>
      <c r="H24" s="30"/>
    </row>
    <row r="25" spans="2:8" x14ac:dyDescent="0.15">
      <c r="B25" s="6"/>
      <c r="C25" s="7"/>
      <c r="D25" s="30"/>
      <c r="E25" s="30"/>
      <c r="F25" s="30"/>
      <c r="G25" s="30"/>
      <c r="H25" s="30"/>
    </row>
  </sheetData>
  <mergeCells count="4">
    <mergeCell ref="B4:H4"/>
    <mergeCell ref="B10:H10"/>
    <mergeCell ref="B16:H16"/>
    <mergeCell ref="B21:H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008D-DD43-324C-A695-EA518FF62940}">
  <dimension ref="A1:F16"/>
  <sheetViews>
    <sheetView showGridLines="0" zoomScale="140" workbookViewId="0"/>
  </sheetViews>
  <sheetFormatPr baseColWidth="10" defaultRowHeight="13" x14ac:dyDescent="0.15"/>
  <cols>
    <col min="1" max="1" width="32.6640625" bestFit="1" customWidth="1"/>
  </cols>
  <sheetData>
    <row r="1" spans="1:6" ht="19" x14ac:dyDescent="0.25">
      <c r="A1" s="9" t="s">
        <v>204</v>
      </c>
    </row>
    <row r="2" spans="1:6" ht="16" x14ac:dyDescent="0.2">
      <c r="A2" s="11" t="s">
        <v>352</v>
      </c>
    </row>
    <row r="3" spans="1:6" ht="14" x14ac:dyDescent="0.2">
      <c r="A3" s="12" t="s">
        <v>61</v>
      </c>
    </row>
    <row r="5" spans="1:6" ht="34" x14ac:dyDescent="0.15">
      <c r="A5" s="15" t="s">
        <v>255</v>
      </c>
      <c r="B5" s="15" t="s">
        <v>258</v>
      </c>
      <c r="C5" s="15" t="s">
        <v>259</v>
      </c>
      <c r="D5" s="15" t="s">
        <v>260</v>
      </c>
      <c r="E5" s="15" t="s">
        <v>261</v>
      </c>
      <c r="F5" s="15" t="s">
        <v>262</v>
      </c>
    </row>
    <row r="6" spans="1:6" x14ac:dyDescent="0.15">
      <c r="A6" s="6" t="s">
        <v>353</v>
      </c>
      <c r="B6" s="149">
        <f>'08_Three_Statement_Projections'!C28</f>
        <v>168003.50717607696</v>
      </c>
      <c r="C6" s="149">
        <f>'08_Three_Statement_Projections'!D28</f>
        <v>188189.27298933623</v>
      </c>
      <c r="D6" s="149">
        <f>'08_Three_Statement_Projections'!E28</f>
        <v>209166.4021863708</v>
      </c>
      <c r="E6" s="149">
        <f>'08_Three_Statement_Projections'!F28</f>
        <v>230545.49799285369</v>
      </c>
      <c r="F6" s="149">
        <f>'08_Three_Statement_Projections'!G28</f>
        <v>251887.78133263363</v>
      </c>
    </row>
    <row r="7" spans="1:6" x14ac:dyDescent="0.15">
      <c r="A7" s="6" t="s">
        <v>213</v>
      </c>
      <c r="B7" s="150">
        <f>'07_Forecast_assumptions'!C6</f>
        <v>25.17</v>
      </c>
      <c r="C7" s="150">
        <f>'07_Forecast_assumptions'!D6</f>
        <v>25.17</v>
      </c>
      <c r="D7" s="150">
        <f>'07_Forecast_assumptions'!E6</f>
        <v>25.17</v>
      </c>
      <c r="E7" s="150">
        <f>'07_Forecast_assumptions'!F6</f>
        <v>25.17</v>
      </c>
      <c r="F7" s="150">
        <f>'07_Forecast_assumptions'!G6</f>
        <v>25.17</v>
      </c>
    </row>
    <row r="8" spans="1:6" x14ac:dyDescent="0.15">
      <c r="A8" s="6" t="s">
        <v>354</v>
      </c>
      <c r="B8" s="136">
        <f t="shared" ref="B8:F8" si="0">B6*B7%</f>
        <v>42286.482756218575</v>
      </c>
      <c r="C8" s="136">
        <f t="shared" si="0"/>
        <v>47367.240011415932</v>
      </c>
      <c r="D8" s="136">
        <f t="shared" si="0"/>
        <v>52647.183430309538</v>
      </c>
      <c r="E8" s="136">
        <f t="shared" si="0"/>
        <v>58028.301844801281</v>
      </c>
      <c r="F8" s="136">
        <f t="shared" si="0"/>
        <v>63400.154561423893</v>
      </c>
    </row>
    <row r="9" spans="1:6" ht="14" thickBot="1" x14ac:dyDescent="0.2">
      <c r="A9" s="62" t="s">
        <v>355</v>
      </c>
      <c r="B9" s="53">
        <f t="shared" ref="B9:F9" si="1">B6-B8</f>
        <v>125717.02441985838</v>
      </c>
      <c r="C9" s="53">
        <f t="shared" si="1"/>
        <v>140822.03297792029</v>
      </c>
      <c r="D9" s="53">
        <f t="shared" si="1"/>
        <v>156519.21875606128</v>
      </c>
      <c r="E9" s="53">
        <f t="shared" si="1"/>
        <v>172517.1961480524</v>
      </c>
      <c r="F9" s="53">
        <f t="shared" si="1"/>
        <v>188487.62677120973</v>
      </c>
    </row>
    <row r="10" spans="1:6" ht="4" customHeight="1" thickTop="1" x14ac:dyDescent="0.15"/>
    <row r="11" spans="1:6" x14ac:dyDescent="0.15">
      <c r="A11" s="6" t="s">
        <v>317</v>
      </c>
      <c r="B11" s="149">
        <f>'08_Three_Statement_Projections'!C27</f>
        <v>62014.6</v>
      </c>
      <c r="C11" s="149">
        <f>'08_Three_Statement_Projections'!D27</f>
        <v>66665.694999999992</v>
      </c>
      <c r="D11" s="149">
        <f>'08_Three_Statement_Projections'!E27</f>
        <v>71665.622124999994</v>
      </c>
      <c r="E11" s="149">
        <f>'08_Three_Statement_Projections'!F27</f>
        <v>77040.543784374997</v>
      </c>
      <c r="F11" s="149">
        <f>'08_Three_Statement_Projections'!G27</f>
        <v>82818.584568203121</v>
      </c>
    </row>
    <row r="12" spans="1:6" x14ac:dyDescent="0.15">
      <c r="A12" s="6" t="s">
        <v>356</v>
      </c>
      <c r="B12" s="136">
        <f>'08_Three_Statement_Projections'!C122</f>
        <v>-131813.12251520113</v>
      </c>
      <c r="C12" s="136">
        <f>'08_Three_Statement_Projections'!D122</f>
        <v>-139446.02628772196</v>
      </c>
      <c r="D12" s="136">
        <f>'08_Three_Statement_Projections'!E122</f>
        <v>-145905.94821236553</v>
      </c>
      <c r="E12" s="136">
        <f>'08_Three_Statement_Projections'!F122</f>
        <v>-151313.29359973827</v>
      </c>
      <c r="F12" s="136">
        <f>'08_Three_Statement_Projections'!G122</f>
        <v>-103523.23071025391</v>
      </c>
    </row>
    <row r="13" spans="1:6" x14ac:dyDescent="0.15">
      <c r="A13" s="6" t="s">
        <v>357</v>
      </c>
      <c r="B13" s="136">
        <f>-'08_Three_Statement_Projections'!C115-'08_Three_Statement_Projections'!C116-'08_Three_Statement_Projections'!C117</f>
        <v>5662.3962644494532</v>
      </c>
      <c r="C13" s="136">
        <f>-'08_Three_Statement_Projections'!D115-'08_Three_Statement_Projections'!D116-'08_Three_Statement_Projections'!D117</f>
        <v>5415.6710163751632</v>
      </c>
      <c r="D13" s="136">
        <f>-'08_Three_Statement_Projections'!E115-'08_Three_Statement_Projections'!E116-'08_Three_Statement_Projections'!E117</f>
        <v>5535.0700760647305</v>
      </c>
      <c r="E13" s="136">
        <f>-'08_Three_Statement_Projections'!F115-'08_Three_Statement_Projections'!F116-'08_Three_Statement_Projections'!F117</f>
        <v>5572.0701122235769</v>
      </c>
      <c r="F13" s="136">
        <f>-'08_Three_Statement_Projections'!G115-'08_Three_Statement_Projections'!G116-'08_Three_Statement_Projections'!G117</f>
        <v>5518.2822070022667</v>
      </c>
    </row>
    <row r="14" spans="1:6" ht="4" customHeight="1" x14ac:dyDescent="0.15"/>
    <row r="15" spans="1:6" ht="14" thickBot="1" x14ac:dyDescent="0.2">
      <c r="A15" s="62" t="s">
        <v>358</v>
      </c>
      <c r="B15" s="53">
        <f t="shared" ref="B15:F15" si="2">B9+B11+B12-B13</f>
        <v>50256.105640207803</v>
      </c>
      <c r="C15" s="53">
        <f t="shared" si="2"/>
        <v>62626.030673823137</v>
      </c>
      <c r="D15" s="53">
        <f t="shared" si="2"/>
        <v>76743.822592631012</v>
      </c>
      <c r="E15" s="53">
        <f t="shared" si="2"/>
        <v>92672.376220465565</v>
      </c>
      <c r="F15" s="53">
        <f t="shared" si="2"/>
        <v>162264.69842215668</v>
      </c>
    </row>
    <row r="16" spans="1:6" ht="14" thickTop="1" x14ac:dyDescent="0.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58F3-6BB0-CE4C-9052-D43EEE4DDEEC}">
  <dimension ref="B1:G39"/>
  <sheetViews>
    <sheetView showGridLines="0" zoomScale="150" zoomScaleNormal="80" workbookViewId="0">
      <selection activeCell="B1" sqref="B1"/>
    </sheetView>
  </sheetViews>
  <sheetFormatPr baseColWidth="10" defaultRowHeight="13" x14ac:dyDescent="0.15"/>
  <cols>
    <col min="1" max="1" width="2.1640625" customWidth="1"/>
    <col min="2" max="2" width="32.6640625" bestFit="1" customWidth="1"/>
    <col min="3" max="3" width="13.1640625" customWidth="1"/>
    <col min="7" max="7" width="12.1640625" customWidth="1"/>
  </cols>
  <sheetData>
    <row r="1" spans="2:7" ht="19" x14ac:dyDescent="0.25">
      <c r="B1" s="9" t="s">
        <v>204</v>
      </c>
    </row>
    <row r="2" spans="2:7" ht="16" x14ac:dyDescent="0.2">
      <c r="B2" s="11" t="s">
        <v>499</v>
      </c>
    </row>
    <row r="3" spans="2:7" ht="14" x14ac:dyDescent="0.2">
      <c r="B3" s="12" t="s">
        <v>61</v>
      </c>
    </row>
    <row r="4" spans="2:7" ht="14" x14ac:dyDescent="0.2">
      <c r="B4" s="12"/>
    </row>
    <row r="5" spans="2:7" ht="28" x14ac:dyDescent="0.2">
      <c r="B5" s="12"/>
      <c r="C5" s="98" t="s">
        <v>193</v>
      </c>
      <c r="D5" s="97">
        <f>'07_Forecast_assumptions'!C11</f>
        <v>5</v>
      </c>
    </row>
    <row r="6" spans="2:7" ht="14" x14ac:dyDescent="0.2">
      <c r="B6" s="12"/>
      <c r="C6" s="90" t="s">
        <v>214</v>
      </c>
      <c r="D6" s="97">
        <f>'07_Forecast_assumptions'!C7</f>
        <v>10.5</v>
      </c>
    </row>
    <row r="8" spans="2:7" ht="34" x14ac:dyDescent="0.15">
      <c r="B8" s="15" t="s">
        <v>255</v>
      </c>
      <c r="C8" s="15" t="s">
        <v>258</v>
      </c>
      <c r="D8" s="15" t="s">
        <v>259</v>
      </c>
      <c r="E8" s="15" t="s">
        <v>260</v>
      </c>
      <c r="F8" s="15" t="s">
        <v>261</v>
      </c>
      <c r="G8" s="15" t="s">
        <v>262</v>
      </c>
    </row>
    <row r="9" spans="2:7" x14ac:dyDescent="0.15">
      <c r="B9" s="18" t="s">
        <v>359</v>
      </c>
      <c r="C9" s="142">
        <v>1</v>
      </c>
      <c r="D9" s="142">
        <v>2</v>
      </c>
      <c r="E9" s="142">
        <v>3</v>
      </c>
      <c r="F9" s="142">
        <v>4</v>
      </c>
      <c r="G9" s="142">
        <v>5</v>
      </c>
    </row>
    <row r="10" spans="2:7" x14ac:dyDescent="0.15">
      <c r="B10" s="18" t="s">
        <v>360</v>
      </c>
      <c r="C10" s="163">
        <f>'09_Free_Cash_Flow_Schedule FCFF'!B15</f>
        <v>50256.105640207803</v>
      </c>
      <c r="D10" s="163">
        <f>'09_Free_Cash_Flow_Schedule FCFF'!C15</f>
        <v>62626.030673823137</v>
      </c>
      <c r="E10" s="163">
        <f>'09_Free_Cash_Flow_Schedule FCFF'!D15</f>
        <v>76743.822592631012</v>
      </c>
      <c r="F10" s="163">
        <f>'09_Free_Cash_Flow_Schedule FCFF'!E15</f>
        <v>92672.376220465565</v>
      </c>
      <c r="G10" s="163">
        <f>'09_Free_Cash_Flow_Schedule FCFF'!F15</f>
        <v>162264.69842215668</v>
      </c>
    </row>
    <row r="11" spans="2:7" x14ac:dyDescent="0.15">
      <c r="B11" s="18" t="s">
        <v>362</v>
      </c>
      <c r="C11" s="151">
        <f>1/(1+$D$6/100)^C9</f>
        <v>0.90497737556561086</v>
      </c>
      <c r="D11" s="151">
        <f t="shared" ref="D11:G11" si="0">1/(1+$D$6/100)^D9</f>
        <v>0.81898405028562071</v>
      </c>
      <c r="E11" s="151">
        <f t="shared" si="0"/>
        <v>0.74116203645757528</v>
      </c>
      <c r="F11" s="151">
        <f t="shared" si="0"/>
        <v>0.67073487462224002</v>
      </c>
      <c r="G11" s="151">
        <f t="shared" si="0"/>
        <v>0.60699988653596382</v>
      </c>
    </row>
    <row r="12" spans="2:7" ht="3" customHeight="1" x14ac:dyDescent="0.15">
      <c r="B12" s="18"/>
      <c r="C12" s="18"/>
      <c r="D12" s="18"/>
      <c r="E12" s="18"/>
      <c r="F12" s="18"/>
      <c r="G12" s="18"/>
    </row>
    <row r="13" spans="2:7" ht="14" thickBot="1" x14ac:dyDescent="0.2">
      <c r="B13" s="63" t="s">
        <v>363</v>
      </c>
      <c r="C13" s="162">
        <f>C10*C11</f>
        <v>45480.638588423353</v>
      </c>
      <c r="D13" s="162">
        <f t="shared" ref="D13:G13" si="1">D10*D11</f>
        <v>51289.720254559194</v>
      </c>
      <c r="E13" s="162">
        <f t="shared" si="1"/>
        <v>56879.607838293276</v>
      </c>
      <c r="F13" s="162">
        <f t="shared" si="1"/>
        <v>62158.59464517903</v>
      </c>
      <c r="G13" s="162">
        <f t="shared" si="1"/>
        <v>98494.653531041491</v>
      </c>
    </row>
    <row r="14" spans="2:7" ht="14" thickTop="1" x14ac:dyDescent="0.15">
      <c r="B14" s="6"/>
    </row>
    <row r="15" spans="2:7" ht="14" thickBot="1" x14ac:dyDescent="0.2"/>
    <row r="16" spans="2:7" ht="18" thickBot="1" x14ac:dyDescent="0.2">
      <c r="B16" s="99" t="s">
        <v>365</v>
      </c>
      <c r="C16" s="99" t="s">
        <v>366</v>
      </c>
    </row>
    <row r="17" spans="2:3" ht="14" thickBot="1" x14ac:dyDescent="0.2">
      <c r="B17" s="87" t="s">
        <v>369</v>
      </c>
      <c r="C17" s="156">
        <f>G10</f>
        <v>162264.69842215668</v>
      </c>
    </row>
    <row r="18" spans="2:3" ht="14" thickBot="1" x14ac:dyDescent="0.2">
      <c r="B18" s="87" t="s">
        <v>193</v>
      </c>
      <c r="C18" s="152">
        <f>D5/100</f>
        <v>0.05</v>
      </c>
    </row>
    <row r="19" spans="2:3" ht="14" thickBot="1" x14ac:dyDescent="0.2">
      <c r="B19" s="87" t="s">
        <v>219</v>
      </c>
      <c r="C19" s="152">
        <f>D6/100</f>
        <v>0.105</v>
      </c>
    </row>
    <row r="20" spans="2:3" ht="14" thickBot="1" x14ac:dyDescent="0.2">
      <c r="B20" s="101" t="s">
        <v>364</v>
      </c>
      <c r="C20" s="157">
        <f>C17*(1+C18)/(C19 -C18)</f>
        <v>3097780.6062411736</v>
      </c>
    </row>
    <row r="21" spans="2:3" ht="14" thickBot="1" x14ac:dyDescent="0.2">
      <c r="B21" s="87" t="s">
        <v>370</v>
      </c>
      <c r="C21" s="153">
        <f>G11</f>
        <v>0.60699988653596382</v>
      </c>
    </row>
    <row r="22" spans="2:3" ht="14" thickBot="1" x14ac:dyDescent="0.2">
      <c r="B22" s="100" t="s">
        <v>368</v>
      </c>
      <c r="C22" s="158">
        <f>C20*C21</f>
        <v>1880352.4765017016</v>
      </c>
    </row>
    <row r="24" spans="2:3" ht="14" thickBot="1" x14ac:dyDescent="0.2"/>
    <row r="25" spans="2:3" ht="18" thickBot="1" x14ac:dyDescent="0.2">
      <c r="B25" s="99" t="s">
        <v>365</v>
      </c>
      <c r="C25" s="99" t="s">
        <v>366</v>
      </c>
    </row>
    <row r="26" spans="2:3" ht="14" thickBot="1" x14ac:dyDescent="0.2">
      <c r="B26" s="102" t="s">
        <v>371</v>
      </c>
      <c r="C26" s="159">
        <f>SUM(C13:G13)</f>
        <v>314303.21485749632</v>
      </c>
    </row>
    <row r="27" spans="2:3" ht="14" thickBot="1" x14ac:dyDescent="0.2">
      <c r="B27" s="102" t="s">
        <v>368</v>
      </c>
      <c r="C27" s="158">
        <f>C22</f>
        <v>1880352.4765017016</v>
      </c>
    </row>
    <row r="28" spans="2:3" ht="14" thickBot="1" x14ac:dyDescent="0.2">
      <c r="B28" s="100" t="s">
        <v>372</v>
      </c>
      <c r="C28" s="158">
        <f>C27+C26</f>
        <v>2194655.6913591977</v>
      </c>
    </row>
    <row r="30" spans="2:3" ht="14" thickBot="1" x14ac:dyDescent="0.2"/>
    <row r="31" spans="2:3" ht="18" thickBot="1" x14ac:dyDescent="0.2">
      <c r="B31" s="99" t="s">
        <v>365</v>
      </c>
      <c r="C31" s="99" t="s">
        <v>366</v>
      </c>
    </row>
    <row r="32" spans="2:3" ht="14" thickBot="1" x14ac:dyDescent="0.2">
      <c r="B32" s="87" t="s">
        <v>372</v>
      </c>
      <c r="C32" s="160">
        <f>C28</f>
        <v>2194655.6913591977</v>
      </c>
    </row>
    <row r="33" spans="2:3" ht="14" thickBot="1" x14ac:dyDescent="0.2">
      <c r="B33" s="87" t="s">
        <v>373</v>
      </c>
      <c r="C33" s="160">
        <f>'08_Three_Statement_Projections'!C62</f>
        <v>155350.17014989501</v>
      </c>
    </row>
    <row r="34" spans="2:3" ht="14" thickBot="1" x14ac:dyDescent="0.2">
      <c r="B34" s="87" t="s">
        <v>374</v>
      </c>
      <c r="C34" s="160">
        <f>'08_Three_Statement_Projections'!C79+'08_Three_Statement_Projections'!C88</f>
        <v>348074.6930746127</v>
      </c>
    </row>
    <row r="35" spans="2:3" ht="14" thickBot="1" x14ac:dyDescent="0.2">
      <c r="B35" s="87" t="s">
        <v>283</v>
      </c>
      <c r="C35" s="160">
        <f ca="1">-'15_DCF_Sensitivity_Analysis'!C23</f>
        <v>-181836</v>
      </c>
    </row>
    <row r="36" spans="2:3" ht="14" thickBot="1" x14ac:dyDescent="0.2">
      <c r="B36" s="101" t="s">
        <v>376</v>
      </c>
      <c r="C36" s="161">
        <f ca="1">C32+C33-C34+C35</f>
        <v>1820095.16843448</v>
      </c>
    </row>
    <row r="37" spans="2:3" ht="14" thickBot="1" x14ac:dyDescent="0.2">
      <c r="B37" s="87" t="s">
        <v>377</v>
      </c>
      <c r="C37" s="87">
        <f>1353.25</f>
        <v>1353.25</v>
      </c>
    </row>
    <row r="38" spans="2:3" ht="3" customHeight="1" thickBot="1" x14ac:dyDescent="0.2"/>
    <row r="39" spans="2:3" ht="17" thickBot="1" x14ac:dyDescent="0.2">
      <c r="B39" s="154" t="s">
        <v>378</v>
      </c>
      <c r="C39" s="155">
        <f ca="1">C36/C37</f>
        <v>1344.9807267204728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B5D90-386D-4A42-86DA-5738980A32A9}">
  <dimension ref="A1:G35"/>
  <sheetViews>
    <sheetView showGridLines="0" zoomScale="125" zoomScaleNormal="90" workbookViewId="0"/>
  </sheetViews>
  <sheetFormatPr baseColWidth="10" defaultRowHeight="13" x14ac:dyDescent="0.15"/>
  <cols>
    <col min="1" max="1" width="32.6640625" bestFit="1" customWidth="1"/>
    <col min="2" max="2" width="13.5" customWidth="1"/>
    <col min="3" max="3" width="11.83203125" customWidth="1"/>
    <col min="4" max="4" width="15" customWidth="1"/>
  </cols>
  <sheetData>
    <row r="1" spans="1:4" ht="19" x14ac:dyDescent="0.25">
      <c r="A1" s="9" t="s">
        <v>204</v>
      </c>
    </row>
    <row r="2" spans="1:4" ht="16" x14ac:dyDescent="0.2">
      <c r="A2" s="11" t="s">
        <v>500</v>
      </c>
    </row>
    <row r="3" spans="1:4" ht="14" x14ac:dyDescent="0.2">
      <c r="A3" s="12" t="s">
        <v>61</v>
      </c>
    </row>
    <row r="5" spans="1:4" ht="28" customHeight="1" x14ac:dyDescent="0.15">
      <c r="A5" s="103" t="s">
        <v>184</v>
      </c>
      <c r="B5" s="104" t="s">
        <v>379</v>
      </c>
      <c r="C5" s="104" t="s">
        <v>380</v>
      </c>
      <c r="D5" s="104" t="s">
        <v>381</v>
      </c>
    </row>
    <row r="6" spans="1:4" x14ac:dyDescent="0.15">
      <c r="A6" s="18" t="s">
        <v>215</v>
      </c>
      <c r="B6" s="164">
        <f>'08_Three_Statement_Projections'!C17</f>
        <v>66526.37353562456</v>
      </c>
      <c r="C6" s="166">
        <f>'07_Forecast_assumptions'!C29</f>
        <v>6.5</v>
      </c>
      <c r="D6" s="94">
        <f>B6*C6</f>
        <v>432421.42798155965</v>
      </c>
    </row>
    <row r="7" spans="1:4" x14ac:dyDescent="0.15">
      <c r="A7" s="18" t="s">
        <v>382</v>
      </c>
      <c r="B7" s="164">
        <f>'08_Three_Statement_Projections'!C18</f>
        <v>85028.312411294508</v>
      </c>
      <c r="C7" s="166">
        <f>'07_Forecast_assumptions'!C49</f>
        <v>15</v>
      </c>
      <c r="D7" s="94">
        <f t="shared" ref="D7:D10" si="0">B7*C7</f>
        <v>1275424.6861694176</v>
      </c>
    </row>
    <row r="8" spans="1:4" x14ac:dyDescent="0.15">
      <c r="A8" s="18" t="s">
        <v>223</v>
      </c>
      <c r="B8" s="164">
        <f>'08_Three_Statement_Projections'!C19</f>
        <v>29876.354845068538</v>
      </c>
      <c r="C8" s="166">
        <f>'07_Forecast_assumptions'!C75</f>
        <v>22</v>
      </c>
      <c r="D8" s="94">
        <f t="shared" si="0"/>
        <v>657279.80659150786</v>
      </c>
    </row>
    <row r="9" spans="1:4" x14ac:dyDescent="0.15">
      <c r="A9" s="18" t="s">
        <v>383</v>
      </c>
      <c r="B9" s="164">
        <f>'08_Three_Statement_Projections'!C20</f>
        <v>20565.521362227206</v>
      </c>
      <c r="C9" s="166">
        <f>'07_Forecast_assumptions'!C94</f>
        <v>5.5</v>
      </c>
      <c r="D9" s="94">
        <f t="shared" si="0"/>
        <v>113110.36749224963</v>
      </c>
    </row>
    <row r="10" spans="1:4" ht="14" thickBot="1" x14ac:dyDescent="0.2">
      <c r="A10" s="115" t="s">
        <v>384</v>
      </c>
      <c r="B10" s="165">
        <f>'08_Three_Statement_Projections'!C21</f>
        <v>28021.545021862152</v>
      </c>
      <c r="C10" s="167">
        <v>8</v>
      </c>
      <c r="D10" s="114">
        <f t="shared" si="0"/>
        <v>224172.36017489721</v>
      </c>
    </row>
    <row r="11" spans="1:4" ht="4" customHeight="1" x14ac:dyDescent="0.15">
      <c r="A11" s="18"/>
      <c r="B11" s="18"/>
      <c r="C11" s="18"/>
      <c r="D11" s="18"/>
    </row>
    <row r="12" spans="1:4" ht="14" x14ac:dyDescent="0.15">
      <c r="A12" s="168" t="s">
        <v>385</v>
      </c>
      <c r="B12" s="168"/>
      <c r="C12" s="168"/>
      <c r="D12" s="169">
        <f>SUM(D6:D10)</f>
        <v>2702408.648409632</v>
      </c>
    </row>
    <row r="14" spans="1:4" ht="14" thickBot="1" x14ac:dyDescent="0.2"/>
    <row r="15" spans="1:4" ht="14" thickBot="1" x14ac:dyDescent="0.2">
      <c r="A15" s="105" t="s">
        <v>365</v>
      </c>
      <c r="B15" s="105" t="s">
        <v>386</v>
      </c>
    </row>
    <row r="16" spans="1:4" ht="14" thickBot="1" x14ac:dyDescent="0.2">
      <c r="A16" s="87" t="s">
        <v>385</v>
      </c>
      <c r="B16" s="156">
        <f>D12</f>
        <v>2702408.648409632</v>
      </c>
    </row>
    <row r="17" spans="1:7" ht="14" thickBot="1" x14ac:dyDescent="0.2">
      <c r="A17" s="87" t="s">
        <v>373</v>
      </c>
      <c r="B17" s="156">
        <f>'08_Three_Statement_Projections'!C62</f>
        <v>155350.17014989501</v>
      </c>
    </row>
    <row r="18" spans="1:7" ht="14" thickBot="1" x14ac:dyDescent="0.2">
      <c r="A18" s="87" t="s">
        <v>374</v>
      </c>
      <c r="B18" s="156">
        <f>-('08_Three_Statement_Projections'!C79+'08_Three_Statement_Projections'!C88)</f>
        <v>-348074.6930746127</v>
      </c>
    </row>
    <row r="19" spans="1:7" ht="14" thickBot="1" x14ac:dyDescent="0.2">
      <c r="A19" s="87" t="s">
        <v>375</v>
      </c>
      <c r="B19" s="156">
        <f>-(D7*0.33+D8*0.15)</f>
        <v>-519482.11742463399</v>
      </c>
    </row>
    <row r="20" spans="1:7" ht="14" thickBot="1" x14ac:dyDescent="0.2">
      <c r="A20" s="101" t="s">
        <v>376</v>
      </c>
      <c r="B20" s="157">
        <f>B16+B17+B18+B19</f>
        <v>1990202.00806028</v>
      </c>
    </row>
    <row r="21" spans="1:7" ht="14" thickBot="1" x14ac:dyDescent="0.2">
      <c r="A21" s="87" t="s">
        <v>387</v>
      </c>
      <c r="B21" s="106">
        <v>1353.25</v>
      </c>
    </row>
    <row r="22" spans="1:7" ht="4" customHeight="1" thickBot="1" x14ac:dyDescent="0.2">
      <c r="A22" s="18"/>
      <c r="B22" s="18"/>
    </row>
    <row r="23" spans="1:7" ht="15" thickBot="1" x14ac:dyDescent="0.2">
      <c r="A23" s="170" t="s">
        <v>378</v>
      </c>
      <c r="B23" s="199">
        <f>B20*(1+'07_Forecast_assumptions'!C15/100)/B21</f>
        <v>1397.1490172970744</v>
      </c>
    </row>
    <row r="26" spans="1:7" x14ac:dyDescent="0.15">
      <c r="A26" s="16" t="s">
        <v>463</v>
      </c>
    </row>
    <row r="27" spans="1:7" x14ac:dyDescent="0.15">
      <c r="A27" s="16" t="s">
        <v>464</v>
      </c>
    </row>
    <row r="29" spans="1:7" ht="14" thickBot="1" x14ac:dyDescent="0.2"/>
    <row r="30" spans="1:7" ht="14" thickBot="1" x14ac:dyDescent="0.2">
      <c r="B30" s="119">
        <f>B23</f>
        <v>1397.1490172970744</v>
      </c>
      <c r="C30" s="129">
        <v>18</v>
      </c>
      <c r="D30" s="129">
        <v>20</v>
      </c>
      <c r="E30" s="129">
        <v>22</v>
      </c>
      <c r="F30" s="129">
        <v>24</v>
      </c>
      <c r="G30" s="129">
        <v>26</v>
      </c>
    </row>
    <row r="31" spans="1:7" ht="14" thickBot="1" x14ac:dyDescent="0.2">
      <c r="B31" s="129">
        <v>13</v>
      </c>
      <c r="C31" s="123">
        <f t="dataTable" ref="C31:G35" dt2D="1" dtr="1" r1="C8" r2="C7"/>
        <v>1245.852754338161</v>
      </c>
      <c r="D31" s="119">
        <v>1281.5078905471289</v>
      </c>
      <c r="E31" s="119">
        <v>1317.1630267560968</v>
      </c>
      <c r="F31" s="119">
        <v>1352.8181629650646</v>
      </c>
      <c r="G31" s="119">
        <v>1388.4732991740325</v>
      </c>
    </row>
    <row r="32" spans="1:7" ht="14" thickBot="1" x14ac:dyDescent="0.2">
      <c r="B32" s="129">
        <v>14</v>
      </c>
      <c r="C32" s="119">
        <v>1285.8457496086498</v>
      </c>
      <c r="D32" s="119">
        <v>1321.5008858176179</v>
      </c>
      <c r="E32" s="119">
        <v>1357.1560220265856</v>
      </c>
      <c r="F32" s="119">
        <v>1392.8111582355534</v>
      </c>
      <c r="G32" s="119">
        <v>1428.4662944445211</v>
      </c>
    </row>
    <row r="33" spans="2:7" ht="14" thickBot="1" x14ac:dyDescent="0.2">
      <c r="B33" s="129">
        <v>15</v>
      </c>
      <c r="C33" s="119">
        <v>1325.8387448791389</v>
      </c>
      <c r="D33" s="119">
        <v>1361.4938810881065</v>
      </c>
      <c r="E33" s="119">
        <v>1397.1490172970744</v>
      </c>
      <c r="F33" s="119">
        <v>1432.804153506042</v>
      </c>
      <c r="G33" s="119">
        <v>1468.4592897150101</v>
      </c>
    </row>
    <row r="34" spans="2:7" ht="14" thickBot="1" x14ac:dyDescent="0.2">
      <c r="B34" s="129">
        <v>16</v>
      </c>
      <c r="C34" s="119">
        <v>1365.8317401496274</v>
      </c>
      <c r="D34" s="119">
        <v>1401.4868763585955</v>
      </c>
      <c r="E34" s="119">
        <v>1437.1420125675631</v>
      </c>
      <c r="F34" s="119">
        <v>1472.797148776531</v>
      </c>
      <c r="G34" s="119">
        <v>1508.4522849854984</v>
      </c>
    </row>
    <row r="35" spans="2:7" ht="14" thickBot="1" x14ac:dyDescent="0.2">
      <c r="B35" s="129">
        <v>17</v>
      </c>
      <c r="C35" s="119">
        <v>1405.8247354201164</v>
      </c>
      <c r="D35" s="119">
        <v>1441.4798716290841</v>
      </c>
      <c r="E35" s="119">
        <v>1477.1350078380522</v>
      </c>
      <c r="F35" s="119">
        <v>1512.7901440470198</v>
      </c>
      <c r="G35" s="124">
        <v>1548.4452802559879</v>
      </c>
    </row>
  </sheetData>
  <conditionalFormatting sqref="C31:G35">
    <cfRule type="iconSet" priority="1">
      <iconSet>
        <cfvo type="percent" val="0"/>
        <cfvo type="percent" val="33"/>
        <cfvo type="percent" val="67"/>
      </iconSet>
    </cfRule>
  </conditionalFormatting>
  <pageMargins left="0.7" right="0.7" top="0.75" bottom="0.75" header="0.3" footer="0.3"/>
  <pageSetup paperSize="9" orientation="portrait" horizontalDpi="0"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57258-6633-6149-A496-CC7D3A2938C2}">
  <dimension ref="A1:E15"/>
  <sheetViews>
    <sheetView showGridLines="0" zoomScale="125" workbookViewId="0">
      <selection activeCell="D20" sqref="D20"/>
    </sheetView>
  </sheetViews>
  <sheetFormatPr baseColWidth="10" defaultRowHeight="13" x14ac:dyDescent="0.15"/>
  <cols>
    <col min="1" max="1" width="50" bestFit="1" customWidth="1"/>
    <col min="2" max="2" width="23.1640625" bestFit="1" customWidth="1"/>
    <col min="3" max="3" width="24.33203125" bestFit="1" customWidth="1"/>
    <col min="4" max="4" width="23.83203125" bestFit="1" customWidth="1"/>
    <col min="5" max="5" width="16.6640625" bestFit="1" customWidth="1"/>
  </cols>
  <sheetData>
    <row r="1" spans="1:5" ht="18" x14ac:dyDescent="0.15">
      <c r="A1" s="242" t="s">
        <v>405</v>
      </c>
    </row>
    <row r="2" spans="1:5" x14ac:dyDescent="0.15">
      <c r="A2" s="1"/>
      <c r="B2" s="1"/>
      <c r="C2" s="1"/>
    </row>
    <row r="3" spans="1:5" x14ac:dyDescent="0.15">
      <c r="A3" s="1"/>
      <c r="B3" s="118"/>
      <c r="C3" s="117"/>
    </row>
    <row r="5" spans="1:5" ht="16" x14ac:dyDescent="0.15">
      <c r="A5" s="200" t="s">
        <v>409</v>
      </c>
      <c r="B5" s="200" t="s">
        <v>408</v>
      </c>
      <c r="C5" s="200" t="s">
        <v>407</v>
      </c>
      <c r="D5" s="200" t="s">
        <v>406</v>
      </c>
      <c r="E5" s="117"/>
    </row>
    <row r="6" spans="1:5" x14ac:dyDescent="0.15">
      <c r="A6" s="18" t="s">
        <v>504</v>
      </c>
      <c r="B6" s="23">
        <f>'07_Forecast_assumptions'!C58</f>
        <v>9.4149938549774589E-2</v>
      </c>
      <c r="C6" s="23">
        <f>'07_Forecast_assumptions'!C59</f>
        <v>7.4149938549774586E-2</v>
      </c>
      <c r="D6" s="23">
        <f>'07_Forecast_assumptions'!C60</f>
        <v>5.4149938549774582E-2</v>
      </c>
    </row>
    <row r="7" spans="1:5" x14ac:dyDescent="0.15">
      <c r="A7" s="18" t="s">
        <v>505</v>
      </c>
      <c r="B7" s="23">
        <f>'07_Forecast_assumptions'!C72</f>
        <v>9.5270473263765157E-2</v>
      </c>
      <c r="C7" s="23">
        <f>'07_Forecast_assumptions'!C73</f>
        <v>8.0270473263765157E-2</v>
      </c>
      <c r="D7" s="23">
        <f>'07_Forecast_assumptions'!C74</f>
        <v>6.5270473263765158E-2</v>
      </c>
      <c r="E7" s="20"/>
    </row>
    <row r="8" spans="1:5" x14ac:dyDescent="0.15">
      <c r="A8" s="18" t="s">
        <v>506</v>
      </c>
      <c r="B8" s="59">
        <f>'07_Forecast_assumptions'!C35</f>
        <v>13.030000000000001</v>
      </c>
      <c r="C8" s="59">
        <f>'07_Forecast_assumptions'!C36</f>
        <v>10.780000000000001</v>
      </c>
      <c r="D8" s="59">
        <f>'07_Forecast_assumptions'!C37</f>
        <v>8.5300000000000011</v>
      </c>
      <c r="E8" s="41"/>
    </row>
    <row r="9" spans="1:5" x14ac:dyDescent="0.15">
      <c r="A9" s="18" t="s">
        <v>507</v>
      </c>
      <c r="B9" s="203">
        <v>240759</v>
      </c>
      <c r="C9" s="203">
        <v>230018</v>
      </c>
      <c r="D9" s="203">
        <v>219544</v>
      </c>
    </row>
    <row r="10" spans="1:5" x14ac:dyDescent="0.15">
      <c r="A10" s="18" t="s">
        <v>427</v>
      </c>
      <c r="B10" s="203">
        <v>1934.85</v>
      </c>
      <c r="C10" s="203">
        <v>1344.98</v>
      </c>
      <c r="D10" s="203">
        <v>624.36</v>
      </c>
      <c r="E10" s="116"/>
    </row>
    <row r="11" spans="1:5" x14ac:dyDescent="0.15">
      <c r="A11" s="18" t="s">
        <v>428</v>
      </c>
      <c r="B11" s="203">
        <v>1834.64</v>
      </c>
      <c r="C11" s="203">
        <v>1397.15</v>
      </c>
      <c r="D11" s="203">
        <v>1034.1199999999999</v>
      </c>
    </row>
    <row r="12" spans="1:5" s="6" customFormat="1" x14ac:dyDescent="0.15">
      <c r="A12" s="18" t="s">
        <v>491</v>
      </c>
      <c r="B12" s="204">
        <f>B10*0.2 +B11*0.8</f>
        <v>1854.6820000000002</v>
      </c>
      <c r="C12" s="204">
        <f>C10*0.2 +C11*0.8</f>
        <v>1386.7160000000001</v>
      </c>
      <c r="D12" s="204">
        <f>D10*0.2 +D11*0.8</f>
        <v>952.16799999999989</v>
      </c>
    </row>
    <row r="13" spans="1:5" ht="14" thickBot="1" x14ac:dyDescent="0.2">
      <c r="A13" s="205" t="s">
        <v>429</v>
      </c>
      <c r="B13" s="206">
        <f>'13_Executive_Summary'!B9</f>
        <v>1310</v>
      </c>
      <c r="C13" s="206">
        <f>B13</f>
        <v>1310</v>
      </c>
      <c r="D13" s="206">
        <f>C13</f>
        <v>1310</v>
      </c>
    </row>
    <row r="14" spans="1:5" x14ac:dyDescent="0.15">
      <c r="A14" s="72" t="s">
        <v>430</v>
      </c>
      <c r="B14" s="207">
        <f>B12/B13-1</f>
        <v>0.41578778625954227</v>
      </c>
      <c r="C14" s="208">
        <f>C12/C13-1</f>
        <v>5.8561832061068797E-2</v>
      </c>
      <c r="D14" s="208">
        <f t="shared" ref="D14" si="0">D12/D13-1</f>
        <v>-0.27315419847328248</v>
      </c>
    </row>
    <row r="15" spans="1:5" ht="16" x14ac:dyDescent="0.15">
      <c r="A15" s="201" t="s">
        <v>186</v>
      </c>
      <c r="B15" s="202" t="str">
        <f>IF(B14&gt;25%,"STRONG BUY",IF(B14&gt;20%,"BUY",IF(B14&gt;0%,"HOLD","SELL")))</f>
        <v>STRONG BUY</v>
      </c>
      <c r="C15" s="202" t="str">
        <f t="shared" ref="C15:D15" si="1">IF(C14&gt;25%,"STRONG BUY",IF(C14&gt;20%,"BUY",IF(C14&gt;0%,"HOLD","SELL")))</f>
        <v>HOLD</v>
      </c>
      <c r="D15" s="202" t="str">
        <f t="shared" si="1"/>
        <v>SELL</v>
      </c>
    </row>
  </sheetData>
  <pageMargins left="0.7" right="0.7" top="0.75" bottom="0.75" header="0.3" footer="0.3"/>
  <ignoredErrors>
    <ignoredError sqref="C12"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822B-CC10-C049-B82A-1A4C99B63319}">
  <dimension ref="A1:H59"/>
  <sheetViews>
    <sheetView showGridLines="0" topLeftCell="A2" zoomScale="125" zoomScaleNormal="139" workbookViewId="0">
      <selection activeCell="A2" sqref="A2"/>
    </sheetView>
  </sheetViews>
  <sheetFormatPr baseColWidth="10" defaultRowHeight="13" x14ac:dyDescent="0.15"/>
  <cols>
    <col min="1" max="1" width="54.33203125" bestFit="1" customWidth="1"/>
    <col min="2" max="2" width="12.6640625" bestFit="1" customWidth="1"/>
    <col min="3" max="7" width="11.83203125" bestFit="1" customWidth="1"/>
    <col min="8" max="8" width="52.6640625" bestFit="1" customWidth="1"/>
  </cols>
  <sheetData>
    <row r="1" spans="1:3" ht="19" x14ac:dyDescent="0.25">
      <c r="A1" s="9" t="s">
        <v>204</v>
      </c>
    </row>
    <row r="2" spans="1:3" ht="16" x14ac:dyDescent="0.15">
      <c r="A2" s="215" t="s">
        <v>388</v>
      </c>
    </row>
    <row r="4" spans="1:3" x14ac:dyDescent="0.15">
      <c r="A4" s="16" t="s">
        <v>389</v>
      </c>
    </row>
    <row r="6" spans="1:3" x14ac:dyDescent="0.15">
      <c r="A6" s="90" t="s">
        <v>390</v>
      </c>
      <c r="B6" s="90" t="s">
        <v>391</v>
      </c>
    </row>
    <row r="7" spans="1:3" x14ac:dyDescent="0.15">
      <c r="A7" s="6" t="s">
        <v>392</v>
      </c>
      <c r="B7" s="171">
        <f>'11_SOTP_valuation'!B23</f>
        <v>1397.1490172970744</v>
      </c>
    </row>
    <row r="8" spans="1:3" x14ac:dyDescent="0.15">
      <c r="A8" s="6" t="s">
        <v>393</v>
      </c>
      <c r="B8" s="171">
        <f ca="1">'10_DCF_Valuation'!C39</f>
        <v>1344.9807267204728</v>
      </c>
    </row>
    <row r="9" spans="1:3" x14ac:dyDescent="0.15">
      <c r="A9" s="16" t="s">
        <v>722</v>
      </c>
      <c r="B9" s="245">
        <v>1310</v>
      </c>
      <c r="C9" s="6"/>
    </row>
    <row r="10" spans="1:3" x14ac:dyDescent="0.15">
      <c r="A10" s="16" t="s">
        <v>491</v>
      </c>
      <c r="B10" s="171">
        <f ca="1">B8*0.2 +B7*0.8</f>
        <v>1386.7153591817541</v>
      </c>
    </row>
    <row r="11" spans="1:3" x14ac:dyDescent="0.15">
      <c r="A11" s="6" t="s">
        <v>497</v>
      </c>
      <c r="B11" s="216">
        <f>B7/B9-1</f>
        <v>6.6525967402346842E-2</v>
      </c>
      <c r="C11" s="6"/>
    </row>
    <row r="12" spans="1:3" x14ac:dyDescent="0.15">
      <c r="A12" s="6" t="s">
        <v>498</v>
      </c>
      <c r="B12" s="216">
        <f ca="1">B10/B9-1</f>
        <v>5.8561342886835233E-2</v>
      </c>
      <c r="C12" s="6"/>
    </row>
    <row r="13" spans="1:3" ht="15" thickBot="1" x14ac:dyDescent="0.2">
      <c r="A13" s="107" t="s">
        <v>394</v>
      </c>
      <c r="B13" s="192" t="str">
        <f ca="1">IF(B12&gt;25%,"STRONG BUY",
IF(B12&gt;15%,"BUY",
IF(B12&gt;0%,"HOLD","SELL")))</f>
        <v>HOLD</v>
      </c>
    </row>
    <row r="16" spans="1:3" x14ac:dyDescent="0.15">
      <c r="A16" s="16" t="s">
        <v>395</v>
      </c>
    </row>
    <row r="18" spans="1:8" ht="34" x14ac:dyDescent="0.15">
      <c r="A18" s="15" t="s">
        <v>396</v>
      </c>
      <c r="B18" s="15" t="s">
        <v>257</v>
      </c>
      <c r="C18" s="15" t="s">
        <v>258</v>
      </c>
      <c r="D18" s="15" t="s">
        <v>259</v>
      </c>
      <c r="E18" s="15" t="s">
        <v>260</v>
      </c>
      <c r="F18" s="15" t="s">
        <v>261</v>
      </c>
      <c r="G18" s="15" t="s">
        <v>262</v>
      </c>
    </row>
    <row r="19" spans="1:8" x14ac:dyDescent="0.15">
      <c r="A19" s="18" t="s">
        <v>397</v>
      </c>
      <c r="B19" s="172">
        <f>'08_Three_Statement_Projections'!B14</f>
        <v>1175919</v>
      </c>
      <c r="C19" s="172">
        <f>'08_Three_Statement_Projections'!C14</f>
        <v>1267585.8993763067</v>
      </c>
      <c r="D19" s="172">
        <f>'08_Three_Statement_Projections'!D14</f>
        <v>1362597.6715934149</v>
      </c>
      <c r="E19" s="172">
        <f>'08_Three_Statement_Projections'!E14</f>
        <v>1459704.1641559538</v>
      </c>
      <c r="F19" s="172">
        <f>'08_Three_Statement_Projections'!F14</f>
        <v>1557459.7801598764</v>
      </c>
      <c r="G19" s="172">
        <f>'08_Three_Statement_Projections'!G14</f>
        <v>1654271.7487037757</v>
      </c>
    </row>
    <row r="20" spans="1:8" x14ac:dyDescent="0.15">
      <c r="A20" s="18" t="s">
        <v>398</v>
      </c>
      <c r="B20" s="172">
        <f>'08_Three_Statement_Projections'!B23</f>
        <v>207911</v>
      </c>
      <c r="C20" s="172">
        <f>'08_Three_Statement_Projections'!C23</f>
        <v>230018.10717607697</v>
      </c>
      <c r="D20" s="172">
        <f>'08_Three_Statement_Projections'!D23</f>
        <v>254854.9679893362</v>
      </c>
      <c r="E20" s="172">
        <f>'08_Three_Statement_Projections'!E23</f>
        <v>280832.0243113708</v>
      </c>
      <c r="F20" s="172">
        <f>'08_Three_Statement_Projections'!F23</f>
        <v>307586.0417772287</v>
      </c>
      <c r="G20" s="172">
        <f>'08_Three_Statement_Projections'!G23</f>
        <v>334706.36590083677</v>
      </c>
    </row>
    <row r="21" spans="1:8" x14ac:dyDescent="0.15">
      <c r="A21" s="18" t="s">
        <v>399</v>
      </c>
      <c r="B21" s="173">
        <f>B20/B19</f>
        <v>0.17680724607732334</v>
      </c>
      <c r="C21" s="173">
        <f t="shared" ref="C21:G21" si="0">C20/C19</f>
        <v>0.18146155403689274</v>
      </c>
      <c r="D21" s="173">
        <f t="shared" si="0"/>
        <v>0.18703610999959372</v>
      </c>
      <c r="E21" s="173">
        <f t="shared" si="0"/>
        <v>0.19238968498370804</v>
      </c>
      <c r="F21" s="173">
        <f t="shared" si="0"/>
        <v>0.19749212512290645</v>
      </c>
      <c r="G21" s="173">
        <f t="shared" si="0"/>
        <v>0.20232852683550928</v>
      </c>
    </row>
    <row r="22" spans="1:8" ht="14" thickBot="1" x14ac:dyDescent="0.2">
      <c r="A22" s="205" t="s">
        <v>400</v>
      </c>
      <c r="B22" s="209">
        <f>'08_Three_Statement_Projections'!B41</f>
        <v>95754</v>
      </c>
      <c r="C22" s="209">
        <f>'08_Three_Statement_Projections'!C41</f>
        <v>98371.184601044981</v>
      </c>
      <c r="D22" s="209">
        <f>'08_Three_Statement_Projections'!D41</f>
        <v>109714.46925487586</v>
      </c>
      <c r="E22" s="209">
        <f>'08_Three_Statement_Projections'!E41</f>
        <v>121412.81999309655</v>
      </c>
      <c r="F22" s="209">
        <f>'08_Three_Statement_Projections'!F41</f>
        <v>133213.16262364283</v>
      </c>
      <c r="G22" s="209">
        <f>'08_Three_Statement_Projections'!G41</f>
        <v>144830.67554481889</v>
      </c>
    </row>
    <row r="25" spans="1:8" x14ac:dyDescent="0.15">
      <c r="A25" s="16" t="s">
        <v>401</v>
      </c>
    </row>
    <row r="27" spans="1:8" ht="42" x14ac:dyDescent="0.15">
      <c r="A27" s="90" t="s">
        <v>402</v>
      </c>
      <c r="B27" s="98" t="s">
        <v>403</v>
      </c>
      <c r="C27" s="98" t="s">
        <v>404</v>
      </c>
      <c r="F27" s="108"/>
      <c r="G27" s="108"/>
      <c r="H27" s="217"/>
    </row>
    <row r="28" spans="1:8" x14ac:dyDescent="0.15">
      <c r="A28" s="6" t="s">
        <v>382</v>
      </c>
      <c r="B28" s="174">
        <f>'11_SOTP_valuation'!D7</f>
        <v>1275424.6861694176</v>
      </c>
      <c r="C28" s="111">
        <f>B28/'11_SOTP_valuation'!$D$12</f>
        <v>0.47195848300737392</v>
      </c>
      <c r="H28" s="6"/>
    </row>
    <row r="29" spans="1:8" ht="15" customHeight="1" x14ac:dyDescent="0.15">
      <c r="A29" s="6" t="s">
        <v>223</v>
      </c>
      <c r="B29" s="174">
        <f>'11_SOTP_valuation'!D8</f>
        <v>657279.80659150786</v>
      </c>
      <c r="C29" s="111">
        <f>B29/'11_SOTP_valuation'!$D$12</f>
        <v>0.24321999079536588</v>
      </c>
      <c r="H29" s="17"/>
    </row>
    <row r="30" spans="1:8" x14ac:dyDescent="0.15">
      <c r="A30" s="6" t="s">
        <v>185</v>
      </c>
      <c r="B30" s="174">
        <f>'11_SOTP_valuation'!D6</f>
        <v>432421.42798155965</v>
      </c>
      <c r="C30" s="111">
        <f>B30/'11_SOTP_valuation'!$D$12</f>
        <v>0.16001333781848268</v>
      </c>
      <c r="H30" s="6"/>
    </row>
    <row r="31" spans="1:8" x14ac:dyDescent="0.15">
      <c r="A31" s="6" t="s">
        <v>384</v>
      </c>
      <c r="B31" s="174">
        <f>'11_SOTP_valuation'!D10</f>
        <v>224172.36017489721</v>
      </c>
      <c r="C31" s="111">
        <f>B31/'11_SOTP_valuation'!$D$12</f>
        <v>8.2952798536528774E-2</v>
      </c>
      <c r="H31" s="6"/>
    </row>
    <row r="32" spans="1:8" ht="14" thickBot="1" x14ac:dyDescent="0.2">
      <c r="A32" s="193" t="s">
        <v>383</v>
      </c>
      <c r="B32" s="210">
        <f>'11_SOTP_valuation'!D9</f>
        <v>113110.36749224963</v>
      </c>
      <c r="C32" s="211">
        <f>B32/'11_SOTP_valuation'!$D$12</f>
        <v>4.1855389842248729E-2</v>
      </c>
      <c r="H32" s="6"/>
    </row>
    <row r="59" spans="1:1" ht="16" x14ac:dyDescent="0.15">
      <c r="A59" s="130"/>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2C78C-3109-2D45-999B-2A03BEF29573}">
  <dimension ref="A1:L52"/>
  <sheetViews>
    <sheetView showGridLines="0" zoomScale="139" workbookViewId="0">
      <selection activeCell="G45" sqref="G45"/>
    </sheetView>
  </sheetViews>
  <sheetFormatPr baseColWidth="10" defaultRowHeight="13" x14ac:dyDescent="0.15"/>
  <cols>
    <col min="1" max="1" width="32.6640625" bestFit="1" customWidth="1"/>
    <col min="2" max="2" width="11.1640625" customWidth="1"/>
    <col min="3" max="3" width="11.83203125" customWidth="1"/>
  </cols>
  <sheetData>
    <row r="1" spans="1:7" ht="19" x14ac:dyDescent="0.25">
      <c r="A1" s="9" t="s">
        <v>204</v>
      </c>
      <c r="B1" s="9"/>
    </row>
    <row r="3" spans="1:7" x14ac:dyDescent="0.15">
      <c r="A3" s="16" t="s">
        <v>432</v>
      </c>
      <c r="B3" s="16"/>
    </row>
    <row r="5" spans="1:7" ht="34" x14ac:dyDescent="0.15">
      <c r="A5" s="15" t="s">
        <v>431</v>
      </c>
      <c r="B5" s="15" t="s">
        <v>257</v>
      </c>
      <c r="C5" s="15" t="s">
        <v>258</v>
      </c>
      <c r="D5" s="15" t="s">
        <v>259</v>
      </c>
      <c r="E5" s="15" t="s">
        <v>260</v>
      </c>
      <c r="F5" s="15" t="s">
        <v>261</v>
      </c>
      <c r="G5" s="15" t="s">
        <v>262</v>
      </c>
    </row>
    <row r="6" spans="1:7" x14ac:dyDescent="0.15">
      <c r="A6" s="18" t="s">
        <v>48</v>
      </c>
      <c r="B6" s="140">
        <f>'08_Three_Statement_Projections'!B14</f>
        <v>1175919</v>
      </c>
      <c r="C6" s="140">
        <f>'08_Three_Statement_Projections'!C14</f>
        <v>1267585.8993763067</v>
      </c>
      <c r="D6" s="140">
        <f>'08_Three_Statement_Projections'!D14</f>
        <v>1362597.6715934149</v>
      </c>
      <c r="E6" s="140">
        <f>'08_Three_Statement_Projections'!E14</f>
        <v>1459704.1641559538</v>
      </c>
      <c r="F6" s="140">
        <f>'08_Three_Statement_Projections'!F14</f>
        <v>1557459.7801598764</v>
      </c>
      <c r="G6" s="140">
        <f>'08_Three_Statement_Projections'!G14</f>
        <v>1654271.7487037757</v>
      </c>
    </row>
    <row r="7" spans="1:7" x14ac:dyDescent="0.15">
      <c r="A7" s="18" t="s">
        <v>49</v>
      </c>
      <c r="B7" s="140">
        <f>'08_Three_Statement_Projections'!B23</f>
        <v>207911</v>
      </c>
      <c r="C7" s="140">
        <f>'08_Three_Statement_Projections'!C23</f>
        <v>230018.10717607697</v>
      </c>
      <c r="D7" s="140">
        <f>'08_Three_Statement_Projections'!D23</f>
        <v>254854.9679893362</v>
      </c>
      <c r="E7" s="140">
        <f>'08_Three_Statement_Projections'!E23</f>
        <v>280832.0243113708</v>
      </c>
      <c r="F7" s="140">
        <f>'08_Three_Statement_Projections'!F23</f>
        <v>307586.0417772287</v>
      </c>
      <c r="G7" s="140">
        <f>'08_Three_Statement_Projections'!G23</f>
        <v>334706.36590083677</v>
      </c>
    </row>
    <row r="8" spans="1:7" x14ac:dyDescent="0.15">
      <c r="A8" s="18" t="s">
        <v>433</v>
      </c>
      <c r="B8" s="208">
        <f>B7/B6</f>
        <v>0.17680724607732334</v>
      </c>
      <c r="C8" s="208">
        <f>C7/C6</f>
        <v>0.18146155403689274</v>
      </c>
      <c r="D8" s="208">
        <f t="shared" ref="D8:G8" si="0">D7/D6</f>
        <v>0.18703610999959372</v>
      </c>
      <c r="E8" s="208">
        <f t="shared" si="0"/>
        <v>0.19238968498370804</v>
      </c>
      <c r="F8" s="208">
        <f t="shared" si="0"/>
        <v>0.19749212512290645</v>
      </c>
      <c r="G8" s="208">
        <f t="shared" si="0"/>
        <v>0.20232852683550928</v>
      </c>
    </row>
    <row r="9" spans="1:7" x14ac:dyDescent="0.15">
      <c r="A9" s="18" t="s">
        <v>434</v>
      </c>
      <c r="B9" s="140">
        <f>'08_Three_Statement_Projections'!B41</f>
        <v>95754</v>
      </c>
      <c r="C9" s="140">
        <f>'08_Three_Statement_Projections'!C41</f>
        <v>98371.184601044981</v>
      </c>
      <c r="D9" s="140">
        <f>'08_Three_Statement_Projections'!D41</f>
        <v>109714.46925487586</v>
      </c>
      <c r="E9" s="140">
        <f>'08_Three_Statement_Projections'!E41</f>
        <v>121412.81999309655</v>
      </c>
      <c r="F9" s="140">
        <f>'08_Three_Statement_Projections'!F41</f>
        <v>133213.16262364283</v>
      </c>
      <c r="G9" s="140">
        <f>'08_Three_Statement_Projections'!G41</f>
        <v>144830.67554481889</v>
      </c>
    </row>
    <row r="10" spans="1:7" x14ac:dyDescent="0.15">
      <c r="A10" s="18" t="s">
        <v>435</v>
      </c>
      <c r="B10" s="208">
        <f>B9/B6</f>
        <v>8.1429078023231197E-2</v>
      </c>
      <c r="C10" s="208">
        <f>C9/C6</f>
        <v>7.7605142696401716E-2</v>
      </c>
      <c r="D10" s="208">
        <f t="shared" ref="D10:G10" si="1">D9/D6</f>
        <v>8.0518609081854889E-2</v>
      </c>
      <c r="E10" s="208">
        <f t="shared" si="1"/>
        <v>8.3176319540953836E-2</v>
      </c>
      <c r="F10" s="208">
        <f t="shared" si="1"/>
        <v>8.5532329194381002E-2</v>
      </c>
      <c r="G10" s="208">
        <f t="shared" si="1"/>
        <v>8.7549506698825441E-2</v>
      </c>
    </row>
    <row r="11" spans="1:7" ht="14" thickBot="1" x14ac:dyDescent="0.2">
      <c r="A11" s="115" t="s">
        <v>436</v>
      </c>
      <c r="B11" s="247" t="s">
        <v>146</v>
      </c>
      <c r="C11" s="248">
        <f>'09_Free_Cash_Flow_Schedule FCFF'!B15</f>
        <v>50256.105640207803</v>
      </c>
      <c r="D11" s="248">
        <f>'09_Free_Cash_Flow_Schedule FCFF'!C15</f>
        <v>62626.030673823137</v>
      </c>
      <c r="E11" s="248">
        <f>'09_Free_Cash_Flow_Schedule FCFF'!D15</f>
        <v>76743.822592631012</v>
      </c>
      <c r="F11" s="248">
        <f>'09_Free_Cash_Flow_Schedule FCFF'!E15</f>
        <v>92672.376220465565</v>
      </c>
      <c r="G11" s="248">
        <f>'09_Free_Cash_Flow_Schedule FCFF'!F15</f>
        <v>162264.69842215668</v>
      </c>
    </row>
    <row r="12" spans="1:7" x14ac:dyDescent="0.15">
      <c r="A12" s="18"/>
      <c r="B12" s="18"/>
      <c r="C12" s="22"/>
      <c r="D12" s="22"/>
      <c r="E12" s="22"/>
      <c r="F12" s="22"/>
      <c r="G12" s="22"/>
    </row>
    <row r="14" spans="1:7" x14ac:dyDescent="0.15">
      <c r="A14" s="16" t="s">
        <v>437</v>
      </c>
      <c r="B14" s="72"/>
    </row>
    <row r="16" spans="1:7" ht="34" x14ac:dyDescent="0.15">
      <c r="A16" s="15" t="s">
        <v>431</v>
      </c>
      <c r="B16" s="15" t="s">
        <v>257</v>
      </c>
      <c r="C16" s="15" t="s">
        <v>258</v>
      </c>
      <c r="D16" s="15" t="s">
        <v>259</v>
      </c>
      <c r="E16" s="15" t="s">
        <v>260</v>
      </c>
      <c r="F16" s="15" t="s">
        <v>261</v>
      </c>
      <c r="G16" s="15" t="s">
        <v>262</v>
      </c>
    </row>
    <row r="17" spans="1:7" x14ac:dyDescent="0.15">
      <c r="A17" s="18" t="s">
        <v>79</v>
      </c>
      <c r="B17" s="140">
        <f>'08_Three_Statement_Projections'!B79+'08_Three_Statement_Projections'!B88</f>
        <v>374421</v>
      </c>
      <c r="C17" s="140">
        <f>'08_Three_Statement_Projections'!C79+'08_Three_Statement_Projections'!C88</f>
        <v>348074.6930746127</v>
      </c>
      <c r="D17" s="140">
        <f>'08_Three_Statement_Projections'!D79+'08_Three_Statement_Projections'!D88</f>
        <v>324292.09926055907</v>
      </c>
      <c r="E17" s="140">
        <f>'08_Three_Statement_Projections'!E79+'08_Three_Statement_Projections'!E88</f>
        <v>302823.74811267061</v>
      </c>
      <c r="F17" s="140">
        <f>'08_Three_Statement_Projections'!F79+'08_Three_Statement_Projections'!F88</f>
        <v>283444.44471908134</v>
      </c>
      <c r="G17" s="140">
        <f>'08_Three_Statement_Projections'!G79+'08_Three_Statement_Projections'!G88</f>
        <v>265950.90749148111</v>
      </c>
    </row>
    <row r="18" spans="1:7" x14ac:dyDescent="0.15">
      <c r="A18" s="18" t="s">
        <v>438</v>
      </c>
      <c r="B18" s="140">
        <f>'08_Three_Statement_Projections'!B62</f>
        <v>145977</v>
      </c>
      <c r="C18" s="140">
        <f>'08_Three_Statement_Projections'!C139</f>
        <v>155350.17014989501</v>
      </c>
      <c r="D18" s="140">
        <f>'08_Three_Statement_Projections'!D139</f>
        <v>178251.09751330022</v>
      </c>
      <c r="E18" s="140">
        <f>'08_Three_Statement_Projections'!E139</f>
        <v>216005.59409600162</v>
      </c>
      <c r="F18" s="140">
        <f>'08_Three_Statement_Projections'!F139</f>
        <v>270008.05934024352</v>
      </c>
      <c r="G18" s="140">
        <f>'08_Three_Statement_Projections'!G139</f>
        <v>393507.33223288157</v>
      </c>
    </row>
    <row r="19" spans="1:7" x14ac:dyDescent="0.15">
      <c r="A19" s="18" t="s">
        <v>439</v>
      </c>
      <c r="B19" s="49">
        <f>B17-B18</f>
        <v>228444</v>
      </c>
      <c r="C19" s="49">
        <f>C17-C18</f>
        <v>192724.52292471769</v>
      </c>
      <c r="D19" s="49">
        <f t="shared" ref="D19:G19" si="2">D17-D18</f>
        <v>146041.00174725885</v>
      </c>
      <c r="E19" s="49">
        <f t="shared" si="2"/>
        <v>86818.154016668996</v>
      </c>
      <c r="F19" s="49">
        <f t="shared" si="2"/>
        <v>13436.385378837818</v>
      </c>
      <c r="G19" s="49">
        <f t="shared" si="2"/>
        <v>-127556.42474140046</v>
      </c>
    </row>
    <row r="20" spans="1:7" x14ac:dyDescent="0.15">
      <c r="A20" s="18" t="s">
        <v>440</v>
      </c>
      <c r="B20" s="249">
        <f>B19/B7</f>
        <v>1.0987586034408954</v>
      </c>
      <c r="C20" s="249">
        <f>C19/C7</f>
        <v>0.83786674575662279</v>
      </c>
      <c r="D20" s="249">
        <f t="shared" ref="D20:G20" si="3">D19/D7</f>
        <v>0.57303572655240365</v>
      </c>
      <c r="E20" s="249">
        <f t="shared" si="3"/>
        <v>0.30914620307123486</v>
      </c>
      <c r="F20" s="249">
        <f t="shared" si="3"/>
        <v>4.3683339143748313E-2</v>
      </c>
      <c r="G20" s="249">
        <f t="shared" si="3"/>
        <v>-0.38109948819793743</v>
      </c>
    </row>
    <row r="21" spans="1:7" ht="14" thickBot="1" x14ac:dyDescent="0.2">
      <c r="A21" s="115" t="s">
        <v>298</v>
      </c>
      <c r="B21" s="250">
        <f ca="1">'08_Three_Statement_Projections'!B76</f>
        <v>1085866</v>
      </c>
      <c r="C21" s="250">
        <f ca="1">'08_Three_Statement_Projections'!C76</f>
        <v>1176794.184601045</v>
      </c>
      <c r="D21" s="250">
        <f ca="1">'08_Three_Statement_Projections'!D76</f>
        <v>1279065.6538559208</v>
      </c>
      <c r="E21" s="250">
        <f ca="1">'08_Three_Statement_Projections'!E76</f>
        <v>1393035.4738490174</v>
      </c>
      <c r="F21" s="250">
        <f ca="1">'08_Three_Statement_Projections'!F76</f>
        <v>1518805.6364726601</v>
      </c>
      <c r="G21" s="250">
        <f ca="1">'08_Three_Statement_Projections'!G76</f>
        <v>1656193.312017479</v>
      </c>
    </row>
    <row r="22" spans="1:7" x14ac:dyDescent="0.15">
      <c r="A22" s="18"/>
      <c r="B22" s="18"/>
      <c r="C22" s="22"/>
      <c r="D22" s="22"/>
      <c r="E22" s="22"/>
      <c r="F22" s="22"/>
      <c r="G22" s="22"/>
    </row>
    <row r="24" spans="1:7" x14ac:dyDescent="0.15">
      <c r="A24" s="16" t="s">
        <v>441</v>
      </c>
      <c r="B24" s="72"/>
    </row>
    <row r="26" spans="1:7" ht="25" customHeight="1" x14ac:dyDescent="0.15">
      <c r="A26" s="15" t="s">
        <v>431</v>
      </c>
      <c r="B26" s="15" t="s">
        <v>442</v>
      </c>
    </row>
    <row r="27" spans="1:7" x14ac:dyDescent="0.15">
      <c r="A27" s="18" t="s">
        <v>443</v>
      </c>
      <c r="B27" s="208">
        <f>(G6/C6)^(1/5)-1</f>
        <v>5.4692580125570656E-2</v>
      </c>
    </row>
    <row r="28" spans="1:7" x14ac:dyDescent="0.15">
      <c r="A28" s="18" t="s">
        <v>444</v>
      </c>
      <c r="B28" s="208">
        <f>(G7/C7)^(1/5)-1</f>
        <v>7.7904759166211202E-2</v>
      </c>
    </row>
    <row r="29" spans="1:7" x14ac:dyDescent="0.15">
      <c r="A29" s="18" t="s">
        <v>446</v>
      </c>
      <c r="B29" s="208">
        <f>(G9/C9)^(1/5)-1</f>
        <v>8.0434717864883432E-2</v>
      </c>
    </row>
    <row r="30" spans="1:7" ht="14" thickBot="1" x14ac:dyDescent="0.2">
      <c r="A30" s="115" t="s">
        <v>445</v>
      </c>
      <c r="B30" s="251">
        <f>(G11/C11)^(1/5)-1</f>
        <v>0.26417455003023438</v>
      </c>
    </row>
    <row r="33" spans="1:12" x14ac:dyDescent="0.15">
      <c r="A33" s="16" t="s">
        <v>447</v>
      </c>
    </row>
    <row r="35" spans="1:12" ht="34" x14ac:dyDescent="0.15">
      <c r="A35" s="15" t="s">
        <v>431</v>
      </c>
      <c r="B35" s="15" t="s">
        <v>258</v>
      </c>
      <c r="C35" s="15" t="s">
        <v>259</v>
      </c>
      <c r="D35" s="15" t="s">
        <v>260</v>
      </c>
      <c r="E35" s="15" t="s">
        <v>261</v>
      </c>
      <c r="F35" s="15" t="s">
        <v>262</v>
      </c>
    </row>
    <row r="36" spans="1:12" x14ac:dyDescent="0.15">
      <c r="A36" s="18" t="s">
        <v>448</v>
      </c>
      <c r="B36" s="208">
        <f ca="1">C9/((C21+B21)/2)</f>
        <v>8.6951797066593006E-2</v>
      </c>
      <c r="C36" s="208">
        <f t="shared" ref="C36:F36" ca="1" si="4">D9/((D21+C21)/2)</f>
        <v>8.9349129406188124E-2</v>
      </c>
      <c r="D36" s="208">
        <f t="shared" ca="1" si="4"/>
        <v>9.087441993438157E-2</v>
      </c>
      <c r="E36" s="208">
        <f t="shared" ca="1" si="4"/>
        <v>9.1497549197611605E-2</v>
      </c>
      <c r="F36" s="208">
        <f t="shared" ca="1" si="4"/>
        <v>9.1231951817617243E-2</v>
      </c>
      <c r="H36" s="21"/>
    </row>
    <row r="37" spans="1:12" ht="14" thickBot="1" x14ac:dyDescent="0.2">
      <c r="A37" s="31" t="s">
        <v>452</v>
      </c>
      <c r="B37" s="252">
        <f ca="1">'08_Three_Statement_Projections'!C28/('14_Key_Metrics_Dashboard'!C21+'14_Key_Metrics_Dashboard'!C19)</f>
        <v>0.12267339339934979</v>
      </c>
      <c r="C37" s="252">
        <f ca="1">'08_Three_Statement_Projections'!D28/('14_Key_Metrics_Dashboard'!D21+'14_Key_Metrics_Dashboard'!D19)</f>
        <v>0.13205276408570604</v>
      </c>
      <c r="D37" s="252">
        <f ca="1">'08_Three_Statement_Projections'!E28/('14_Key_Metrics_Dashboard'!E21+'14_Key_Metrics_Dashboard'!E19)</f>
        <v>0.14134262892475408</v>
      </c>
      <c r="E37" s="252">
        <f ca="1">'08_Three_Statement_Projections'!F28/('14_Key_Metrics_Dashboard'!F21+'14_Key_Metrics_Dashboard'!F19)</f>
        <v>0.15046284771270796</v>
      </c>
      <c r="F37" s="252">
        <f ca="1">'08_Three_Statement_Projections'!G28/('14_Key_Metrics_Dashboard'!G21+'14_Key_Metrics_Dashboard'!G19)</f>
        <v>0.16477934258244914</v>
      </c>
    </row>
    <row r="38" spans="1:12" ht="14" thickTop="1" x14ac:dyDescent="0.15">
      <c r="A38" s="72" t="s">
        <v>508</v>
      </c>
      <c r="H38" s="21"/>
      <c r="I38" s="21"/>
      <c r="J38" s="21"/>
      <c r="K38" s="21"/>
      <c r="L38" s="21"/>
    </row>
    <row r="39" spans="1:12" x14ac:dyDescent="0.15">
      <c r="A39" s="18" t="s">
        <v>509</v>
      </c>
      <c r="B39" s="23">
        <f>C9/('08_Three_Statement_Projections'!C30+'14_Key_Metrics_Dashboard'!C6)</f>
        <v>7.6386975038980814E-2</v>
      </c>
      <c r="C39" s="23">
        <f>D9/('08_Three_Statement_Projections'!D30+'14_Key_Metrics_Dashboard'!D6)</f>
        <v>7.92835999463401E-2</v>
      </c>
      <c r="D39" s="23">
        <f>E9/('08_Three_Statement_Projections'!E30+'14_Key_Metrics_Dashboard'!E6)</f>
        <v>8.1925490506673068E-2</v>
      </c>
      <c r="E39" s="23">
        <f>F9/('08_Three_Statement_Projections'!F30+'14_Key_Metrics_Dashboard'!F6)</f>
        <v>8.4266224138019735E-2</v>
      </c>
      <c r="F39" s="23">
        <f>G9/('08_Three_Statement_Projections'!G30+'14_Key_Metrics_Dashboard'!G6)</f>
        <v>8.6268161813743929E-2</v>
      </c>
    </row>
    <row r="40" spans="1:12" x14ac:dyDescent="0.15">
      <c r="A40" s="18" t="s">
        <v>510</v>
      </c>
      <c r="B40" s="128">
        <f ca="1">('08_Three_Statement_Projections'!C30 + '08_Three_Statement_Projections'!C14) / ('08_Three_Statement_Projections'!C69+'08_Three_Statement_Projections'!C67)</f>
        <v>0.57028894037298672</v>
      </c>
      <c r="C40" s="128">
        <f ca="1">('08_Three_Statement_Projections'!D30 + '08_Three_Statement_Projections'!D14) / ('08_Three_Statement_Projections'!D69+'08_Three_Statement_Projections'!D67)</f>
        <v>0.5879958722933728</v>
      </c>
      <c r="D40" s="128">
        <f ca="1">('08_Three_Statement_Projections'!E30 + '08_Three_Statement_Projections'!E14) / ('08_Three_Statement_Projections'!E69+'08_Three_Statement_Projections'!E67)</f>
        <v>0.60147075993850829</v>
      </c>
      <c r="E40" s="128">
        <f ca="1">('08_Three_Statement_Projections'!F30 + '08_Three_Statement_Projections'!F14) / ('08_Three_Statement_Projections'!F69+'08_Three_Statement_Projections'!F67)</f>
        <v>0.61052270266386288</v>
      </c>
      <c r="F40" s="128">
        <f ca="1">('08_Three_Statement_Projections'!G30 + '08_Three_Statement_Projections'!G14) / ('08_Three_Statement_Projections'!G69+'08_Three_Statement_Projections'!G67)</f>
        <v>0.61515222508078982</v>
      </c>
    </row>
    <row r="41" spans="1:12" x14ac:dyDescent="0.15">
      <c r="A41" s="18" t="s">
        <v>511</v>
      </c>
      <c r="B41" s="128">
        <f ca="1">('08_Three_Statement_Projections'!C69+'08_Three_Statement_Projections'!C67)/AVERAGE(C21,B21)</f>
        <v>1.9960172980362942</v>
      </c>
      <c r="C41" s="128">
        <f ca="1">('08_Three_Statement_Projections'!D69+'08_Three_Statement_Projections'!D67)/AVERAGE(D21,C21)</f>
        <v>1.9166053071119686</v>
      </c>
      <c r="D41" s="128">
        <f ca="1">('08_Three_Statement_Projections'!E69+'08_Three_Statement_Projections'!E67)/AVERAGE(E21,D21)</f>
        <v>1.8442002737128347</v>
      </c>
      <c r="E41" s="128">
        <f ca="1">('08_Three_Statement_Projections'!F69+'08_Three_Statement_Projections'!F67)/AVERAGE(F21,E21)</f>
        <v>1.7785009814635271</v>
      </c>
      <c r="F41" s="128">
        <f ca="1">('08_Three_Statement_Projections'!G69+'08_Three_Statement_Projections'!G67)/AVERAGE(G21,F21)</f>
        <v>1.7191502025510081</v>
      </c>
    </row>
    <row r="43" spans="1:12" x14ac:dyDescent="0.15">
      <c r="A43" s="16" t="s">
        <v>449</v>
      </c>
    </row>
    <row r="45" spans="1:12" ht="28" x14ac:dyDescent="0.15">
      <c r="A45" s="98" t="s">
        <v>184</v>
      </c>
      <c r="B45" s="98" t="s">
        <v>450</v>
      </c>
      <c r="C45" s="98" t="s">
        <v>451</v>
      </c>
    </row>
    <row r="46" spans="1:12" x14ac:dyDescent="0.15">
      <c r="A46" s="18" t="s">
        <v>382</v>
      </c>
      <c r="B46" s="140">
        <f>'08_Three_Statement_Projections'!C18</f>
        <v>85028.312411294508</v>
      </c>
      <c r="C46" s="208">
        <f>B46/$C$7</f>
        <v>0.36965921272539659</v>
      </c>
    </row>
    <row r="47" spans="1:12" x14ac:dyDescent="0.15">
      <c r="A47" s="18" t="s">
        <v>185</v>
      </c>
      <c r="B47" s="140">
        <f>'08_Three_Statement_Projections'!C17</f>
        <v>66526.37353562456</v>
      </c>
      <c r="C47" s="208">
        <f t="shared" ref="C47:C50" si="5">B47/$C$7</f>
        <v>0.28922233276486869</v>
      </c>
    </row>
    <row r="48" spans="1:12" x14ac:dyDescent="0.15">
      <c r="A48" s="18" t="s">
        <v>223</v>
      </c>
      <c r="B48" s="140">
        <f>'08_Three_Statement_Projections'!C19</f>
        <v>29876.354845068538</v>
      </c>
      <c r="C48" s="208">
        <f t="shared" si="5"/>
        <v>0.1298869693862772</v>
      </c>
    </row>
    <row r="49" spans="1:3" x14ac:dyDescent="0.15">
      <c r="A49" s="18" t="s">
        <v>384</v>
      </c>
      <c r="B49" s="140">
        <f>'08_Three_Statement_Projections'!C21</f>
        <v>28021.545021862152</v>
      </c>
      <c r="C49" s="208">
        <f t="shared" si="5"/>
        <v>0.12182321368470304</v>
      </c>
    </row>
    <row r="50" spans="1:3" ht="14" thickBot="1" x14ac:dyDescent="0.2">
      <c r="A50" s="115" t="s">
        <v>383</v>
      </c>
      <c r="B50" s="250">
        <f>'08_Three_Statement_Projections'!C20</f>
        <v>20565.521362227206</v>
      </c>
      <c r="C50" s="251">
        <f t="shared" si="5"/>
        <v>8.9408271438754461E-2</v>
      </c>
    </row>
    <row r="51" spans="1:3" x14ac:dyDescent="0.15">
      <c r="B51" s="7"/>
    </row>
    <row r="52" spans="1:3" x14ac:dyDescent="0.15">
      <c r="B52" s="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DCE7-F0DC-7647-9263-275131D45C86}">
  <dimension ref="B1:H44"/>
  <sheetViews>
    <sheetView showGridLines="0" zoomScale="125" workbookViewId="0">
      <selection activeCell="B1" sqref="B1"/>
    </sheetView>
  </sheetViews>
  <sheetFormatPr baseColWidth="10" defaultRowHeight="13" x14ac:dyDescent="0.15"/>
  <cols>
    <col min="1" max="1" width="2.83203125" customWidth="1"/>
    <col min="2" max="2" width="36.6640625" bestFit="1" customWidth="1"/>
  </cols>
  <sheetData>
    <row r="1" spans="2:8" ht="19" x14ac:dyDescent="0.25">
      <c r="B1" s="9" t="s">
        <v>204</v>
      </c>
    </row>
    <row r="2" spans="2:8" x14ac:dyDescent="0.15">
      <c r="B2" s="16" t="s">
        <v>454</v>
      </c>
    </row>
    <row r="3" spans="2:8" ht="14" thickBot="1" x14ac:dyDescent="0.2">
      <c r="B3" s="16" t="s">
        <v>453</v>
      </c>
      <c r="C3" s="20"/>
    </row>
    <row r="4" spans="2:8" ht="14" thickBot="1" x14ac:dyDescent="0.2">
      <c r="C4" s="119">
        <f ca="1">C26</f>
        <v>1344.9807267204728</v>
      </c>
      <c r="D4" s="120">
        <v>0.04</v>
      </c>
      <c r="E4" s="121">
        <f>D4+0.5%</f>
        <v>4.4999999999999998E-2</v>
      </c>
      <c r="F4" s="121">
        <f t="shared" ref="F4:H4" si="0">E4+0.5%</f>
        <v>4.9999999999999996E-2</v>
      </c>
      <c r="G4" s="121">
        <f t="shared" si="0"/>
        <v>5.4999999999999993E-2</v>
      </c>
      <c r="H4" s="121">
        <f t="shared" si="0"/>
        <v>5.9999999999999991E-2</v>
      </c>
    </row>
    <row r="5" spans="2:8" ht="14" thickBot="1" x14ac:dyDescent="0.2">
      <c r="C5" s="120">
        <v>9.5000000000000001E-2</v>
      </c>
      <c r="D5" s="119">
        <f t="dataTable" ref="D5:H9" dt2D="1" dtr="1" r1="C14" r2="C15" ca="1"/>
        <v>1395.7492852443393</v>
      </c>
      <c r="E5" s="119">
        <v>1547.393848618475</v>
      </c>
      <c r="F5" s="119">
        <v>1732.7372038535304</v>
      </c>
      <c r="G5" s="119">
        <v>1964.416397897349</v>
      </c>
      <c r="H5" s="124">
        <v>2262.2896473822584</v>
      </c>
    </row>
    <row r="6" spans="2:8" ht="14" thickBot="1" x14ac:dyDescent="0.2">
      <c r="C6" s="121">
        <f>C5+0.5%</f>
        <v>0.1</v>
      </c>
      <c r="D6" s="122">
        <v>1245.9919600375665</v>
      </c>
      <c r="E6" s="119">
        <v>1370.0804029590272</v>
      </c>
      <c r="F6" s="119">
        <v>1518.9865344647808</v>
      </c>
      <c r="G6" s="119">
        <v>1700.9829174162564</v>
      </c>
      <c r="H6" s="119">
        <v>1928.4783961056016</v>
      </c>
    </row>
    <row r="7" spans="2:8" ht="14" thickBot="1" x14ac:dyDescent="0.2">
      <c r="C7" s="121">
        <f t="shared" ref="C7:C9" si="1">C6+0.5%</f>
        <v>0.10500000000000001</v>
      </c>
      <c r="D7" s="119">
        <v>1120.0126720335802</v>
      </c>
      <c r="E7" s="119">
        <v>1223.1230304317392</v>
      </c>
      <c r="F7" s="119">
        <v>1344.9807267204726</v>
      </c>
      <c r="G7" s="119">
        <v>1491.2099622669521</v>
      </c>
      <c r="H7" s="119">
        <v>1669.9345834904277</v>
      </c>
    </row>
    <row r="8" spans="2:8" ht="14" thickBot="1" x14ac:dyDescent="0.2">
      <c r="C8" s="121">
        <f t="shared" si="1"/>
        <v>0.11000000000000001</v>
      </c>
      <c r="D8" s="119">
        <v>1012.6947005037702</v>
      </c>
      <c r="E8" s="119">
        <v>1099.4932971755773</v>
      </c>
      <c r="F8" s="119">
        <v>1200.758326626019</v>
      </c>
      <c r="G8" s="119">
        <v>1320.4351796129042</v>
      </c>
      <c r="H8" s="119">
        <v>1464.0474031971667</v>
      </c>
    </row>
    <row r="9" spans="2:8" ht="14" thickBot="1" x14ac:dyDescent="0.2">
      <c r="C9" s="121">
        <f t="shared" si="1"/>
        <v>0.11500000000000002</v>
      </c>
      <c r="D9" s="123">
        <v>920.28649459796009</v>
      </c>
      <c r="E9" s="119">
        <v>994.17165875675801</v>
      </c>
      <c r="F9" s="119">
        <v>1079.423771247679</v>
      </c>
      <c r="G9" s="119">
        <v>1178.8845691537531</v>
      </c>
      <c r="H9" s="119">
        <v>1296.4291484972955</v>
      </c>
    </row>
    <row r="12" spans="2:8" x14ac:dyDescent="0.15">
      <c r="B12" s="66" t="s">
        <v>455</v>
      </c>
      <c r="C12" s="66" t="s">
        <v>456</v>
      </c>
    </row>
    <row r="13" spans="2:8" x14ac:dyDescent="0.15">
      <c r="B13" s="72" t="s">
        <v>367</v>
      </c>
      <c r="C13" s="163">
        <f>'09_Free_Cash_Flow_Schedule FCFF'!F15</f>
        <v>162264.69842215668</v>
      </c>
    </row>
    <row r="14" spans="2:8" x14ac:dyDescent="0.15">
      <c r="B14" s="18" t="s">
        <v>457</v>
      </c>
      <c r="C14" s="173">
        <f>'07_Forecast_assumptions'!C11/100</f>
        <v>0.05</v>
      </c>
    </row>
    <row r="15" spans="2:8" x14ac:dyDescent="0.15">
      <c r="B15" s="18" t="s">
        <v>361</v>
      </c>
      <c r="C15" s="173">
        <f>'07_Forecast_assumptions'!C7/100</f>
        <v>0.105</v>
      </c>
    </row>
    <row r="16" spans="2:8" x14ac:dyDescent="0.15">
      <c r="B16" s="18" t="s">
        <v>364</v>
      </c>
      <c r="C16" s="49">
        <f>C13*(1+C14)/(C15-C14)</f>
        <v>3097780.6062411736</v>
      </c>
    </row>
    <row r="17" spans="2:3" x14ac:dyDescent="0.15">
      <c r="B17" s="18" t="s">
        <v>458</v>
      </c>
      <c r="C17" s="49">
        <f>C16/(1+C15)^5</f>
        <v>1880352.4765017016</v>
      </c>
    </row>
    <row r="18" spans="2:3" x14ac:dyDescent="0.15">
      <c r="B18" s="18" t="s">
        <v>459</v>
      </c>
      <c r="C18" s="49">
        <f>'10_DCF_Valuation'!C26</f>
        <v>314303.21485749632</v>
      </c>
    </row>
    <row r="19" spans="2:3" ht="14" thickBot="1" x14ac:dyDescent="0.2">
      <c r="B19" s="253" t="s">
        <v>372</v>
      </c>
      <c r="C19" s="254">
        <f>C17+C18</f>
        <v>2194655.6913591977</v>
      </c>
    </row>
    <row r="20" spans="2:3" ht="6" customHeight="1" x14ac:dyDescent="0.15">
      <c r="B20" s="18"/>
      <c r="C20" s="18"/>
    </row>
    <row r="21" spans="2:3" x14ac:dyDescent="0.15">
      <c r="B21" s="18" t="s">
        <v>462</v>
      </c>
      <c r="C21" s="140">
        <f>'08_Three_Statement_Projections'!C62</f>
        <v>155350.17014989501</v>
      </c>
    </row>
    <row r="22" spans="2:3" x14ac:dyDescent="0.15">
      <c r="B22" s="18" t="s">
        <v>79</v>
      </c>
      <c r="C22" s="140">
        <f>'08_Three_Statement_Projections'!C79+'08_Three_Statement_Projections'!C88</f>
        <v>348074.6930746127</v>
      </c>
    </row>
    <row r="23" spans="2:3" x14ac:dyDescent="0.15">
      <c r="B23" s="18" t="s">
        <v>461</v>
      </c>
      <c r="C23" s="140">
        <f ca="1">'08_Three_Statement_Projections'!C74</f>
        <v>181836</v>
      </c>
    </row>
    <row r="24" spans="2:3" ht="14" thickBot="1" x14ac:dyDescent="0.2">
      <c r="B24" s="253" t="s">
        <v>376</v>
      </c>
      <c r="C24" s="254">
        <f ca="1">C19+C21-C22-C23</f>
        <v>1820095.16843448</v>
      </c>
    </row>
    <row r="25" spans="2:3" ht="14" thickBot="1" x14ac:dyDescent="0.2">
      <c r="B25" s="18" t="s">
        <v>387</v>
      </c>
      <c r="C25" s="18">
        <v>1353.25</v>
      </c>
    </row>
    <row r="26" spans="2:3" ht="17" thickBot="1" x14ac:dyDescent="0.2">
      <c r="B26" s="154" t="s">
        <v>460</v>
      </c>
      <c r="C26" s="155">
        <f ca="1">C24/C25</f>
        <v>1344.9807267204728</v>
      </c>
    </row>
    <row r="28" spans="2:3" s="125" customFormat="1" ht="14" thickBot="1" x14ac:dyDescent="0.2"/>
    <row r="39" spans="2:4" ht="14" x14ac:dyDescent="0.15">
      <c r="B39" s="126"/>
      <c r="C39" s="127"/>
      <c r="D39" s="127"/>
    </row>
    <row r="40" spans="2:4" x14ac:dyDescent="0.15">
      <c r="B40" s="18"/>
      <c r="C40" s="94"/>
      <c r="D40" s="128"/>
    </row>
    <row r="41" spans="2:4" x14ac:dyDescent="0.15">
      <c r="B41" s="18"/>
      <c r="C41" s="94"/>
      <c r="D41" s="128"/>
    </row>
    <row r="42" spans="2:4" x14ac:dyDescent="0.15">
      <c r="B42" s="18"/>
      <c r="C42" s="94"/>
      <c r="D42" s="128"/>
    </row>
    <row r="43" spans="2:4" x14ac:dyDescent="0.15">
      <c r="B43" s="18"/>
      <c r="C43" s="94"/>
      <c r="D43" s="128"/>
    </row>
    <row r="44" spans="2:4" x14ac:dyDescent="0.15">
      <c r="B44" s="18"/>
      <c r="C44" s="94"/>
      <c r="D44" s="128"/>
    </row>
  </sheetData>
  <conditionalFormatting sqref="D5:H9">
    <cfRule type="iconSet" priority="1">
      <iconSet>
        <cfvo type="percent" val="0"/>
        <cfvo type="percent" val="20"/>
        <cfvo type="percent" val="60"/>
      </iconSet>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C098-9702-5947-85AF-78ED85EECCFD}">
  <dimension ref="A1:X221"/>
  <sheetViews>
    <sheetView showGridLines="0" topLeftCell="A166" zoomScale="75" zoomScaleNormal="71" workbookViewId="0">
      <selection activeCell="J222" sqref="J222"/>
    </sheetView>
  </sheetViews>
  <sheetFormatPr baseColWidth="10" defaultRowHeight="13" x14ac:dyDescent="0.15"/>
  <cols>
    <col min="1" max="1" width="39.33203125" bestFit="1" customWidth="1"/>
    <col min="2" max="2" width="19.6640625" customWidth="1"/>
    <col min="3" max="3" width="39.5" customWidth="1"/>
    <col min="4" max="4" width="29.5" customWidth="1"/>
    <col min="5" max="5" width="17.83203125" customWidth="1"/>
    <col min="6" max="6" width="19.5" customWidth="1"/>
    <col min="7" max="7" width="14.1640625" bestFit="1" customWidth="1"/>
    <col min="8" max="8" width="18" customWidth="1"/>
    <col min="9" max="9" width="16.5" bestFit="1" customWidth="1"/>
    <col min="10" max="10" width="13.5" customWidth="1"/>
    <col min="11" max="11" width="12.33203125" customWidth="1"/>
    <col min="14" max="14" width="5.33203125" customWidth="1"/>
  </cols>
  <sheetData>
    <row r="1" spans="1:2" ht="18" x14ac:dyDescent="0.2">
      <c r="A1" s="218" t="s">
        <v>204</v>
      </c>
      <c r="B1" s="218"/>
    </row>
    <row r="2" spans="1:2" ht="18" x14ac:dyDescent="0.2">
      <c r="A2" s="218"/>
      <c r="B2" s="218"/>
    </row>
    <row r="3" spans="1:2" ht="16" x14ac:dyDescent="0.15">
      <c r="A3" s="219" t="s">
        <v>563</v>
      </c>
      <c r="B3" s="219"/>
    </row>
    <row r="4" spans="1:2" ht="18" x14ac:dyDescent="0.2">
      <c r="A4" s="218"/>
      <c r="B4" s="218"/>
    </row>
    <row r="5" spans="1:2" x14ac:dyDescent="0.15">
      <c r="A5" s="90" t="s">
        <v>564</v>
      </c>
      <c r="B5" s="90" t="s">
        <v>565</v>
      </c>
    </row>
    <row r="6" spans="1:2" x14ac:dyDescent="0.15">
      <c r="A6" s="18" t="s">
        <v>577</v>
      </c>
      <c r="B6" s="18" t="s">
        <v>723</v>
      </c>
    </row>
    <row r="7" spans="1:2" x14ac:dyDescent="0.15">
      <c r="A7" s="18" t="s">
        <v>566</v>
      </c>
      <c r="B7" s="18" t="s">
        <v>567</v>
      </c>
    </row>
    <row r="8" spans="1:2" x14ac:dyDescent="0.15">
      <c r="A8" s="18" t="s">
        <v>568</v>
      </c>
      <c r="B8" s="18" t="s">
        <v>540</v>
      </c>
    </row>
    <row r="9" spans="1:2" x14ac:dyDescent="0.15">
      <c r="A9" s="18" t="s">
        <v>569</v>
      </c>
      <c r="B9" s="18" t="s">
        <v>570</v>
      </c>
    </row>
    <row r="10" spans="1:2" x14ac:dyDescent="0.15">
      <c r="A10" s="18" t="s">
        <v>571</v>
      </c>
      <c r="B10" s="18" t="s">
        <v>544</v>
      </c>
    </row>
    <row r="11" spans="1:2" x14ac:dyDescent="0.15">
      <c r="A11" s="18" t="s">
        <v>572</v>
      </c>
      <c r="B11" s="18" t="s">
        <v>573</v>
      </c>
    </row>
    <row r="12" spans="1:2" ht="26" customHeight="1" thickBot="1" x14ac:dyDescent="0.2">
      <c r="A12" s="115" t="s">
        <v>574</v>
      </c>
      <c r="B12" s="222" t="s">
        <v>576</v>
      </c>
    </row>
    <row r="13" spans="1:2" ht="16" x14ac:dyDescent="0.15">
      <c r="A13" s="219"/>
      <c r="B13" s="219"/>
    </row>
    <row r="14" spans="1:2" ht="16" x14ac:dyDescent="0.15">
      <c r="A14" s="219"/>
      <c r="B14" s="219"/>
    </row>
    <row r="15" spans="1:2" ht="16" x14ac:dyDescent="0.15">
      <c r="A15" s="219" t="s">
        <v>588</v>
      </c>
      <c r="B15" s="219"/>
    </row>
    <row r="16" spans="1:2" ht="16" x14ac:dyDescent="0.15">
      <c r="A16" s="219"/>
      <c r="B16" s="219"/>
    </row>
    <row r="17" spans="1:5" x14ac:dyDescent="0.15">
      <c r="A17" s="90" t="s">
        <v>580</v>
      </c>
      <c r="B17" s="90" t="s">
        <v>581</v>
      </c>
      <c r="C17" s="90" t="s">
        <v>579</v>
      </c>
      <c r="D17" s="90" t="s">
        <v>589</v>
      </c>
    </row>
    <row r="18" spans="1:5" ht="26" x14ac:dyDescent="0.15">
      <c r="A18" s="18" t="s">
        <v>382</v>
      </c>
      <c r="B18" s="18" t="s">
        <v>522</v>
      </c>
      <c r="C18" s="221" t="s">
        <v>582</v>
      </c>
      <c r="D18">
        <v>5</v>
      </c>
    </row>
    <row r="19" spans="1:5" ht="26" x14ac:dyDescent="0.15">
      <c r="A19" s="18" t="s">
        <v>223</v>
      </c>
      <c r="B19" s="18" t="s">
        <v>525</v>
      </c>
      <c r="C19" s="221" t="s">
        <v>583</v>
      </c>
      <c r="D19">
        <v>5</v>
      </c>
    </row>
    <row r="20" spans="1:5" x14ac:dyDescent="0.15">
      <c r="A20" s="18" t="s">
        <v>185</v>
      </c>
      <c r="B20" s="18" t="s">
        <v>528</v>
      </c>
      <c r="C20" s="18" t="s">
        <v>584</v>
      </c>
      <c r="D20">
        <v>4</v>
      </c>
    </row>
    <row r="21" spans="1:5" x14ac:dyDescent="0.15">
      <c r="A21" s="18" t="s">
        <v>383</v>
      </c>
      <c r="B21" s="18" t="s">
        <v>531</v>
      </c>
      <c r="C21" s="18" t="s">
        <v>585</v>
      </c>
      <c r="D21">
        <v>5</v>
      </c>
    </row>
    <row r="22" spans="1:5" ht="27" thickBot="1" x14ac:dyDescent="0.2">
      <c r="A22" s="115" t="s">
        <v>586</v>
      </c>
      <c r="B22" s="115" t="s">
        <v>533</v>
      </c>
      <c r="C22" s="222" t="s">
        <v>587</v>
      </c>
      <c r="D22" s="125">
        <v>3</v>
      </c>
    </row>
    <row r="23" spans="1:5" x14ac:dyDescent="0.15">
      <c r="A23" s="18"/>
      <c r="B23" s="18"/>
      <c r="C23" s="221"/>
    </row>
    <row r="24" spans="1:5" x14ac:dyDescent="0.15">
      <c r="A24" s="18"/>
      <c r="B24" s="18"/>
      <c r="C24" s="221"/>
    </row>
    <row r="25" spans="1:5" x14ac:dyDescent="0.15">
      <c r="A25" s="16" t="s">
        <v>590</v>
      </c>
      <c r="B25" s="18"/>
      <c r="C25" s="221"/>
    </row>
    <row r="26" spans="1:5" x14ac:dyDescent="0.15">
      <c r="A26" s="18"/>
      <c r="B26" s="18"/>
      <c r="C26" s="221"/>
    </row>
    <row r="27" spans="1:5" x14ac:dyDescent="0.15">
      <c r="A27" s="90" t="s">
        <v>580</v>
      </c>
      <c r="B27" s="90" t="s">
        <v>591</v>
      </c>
      <c r="C27" s="90" t="s">
        <v>592</v>
      </c>
      <c r="D27" s="90" t="s">
        <v>593</v>
      </c>
      <c r="E27" s="90" t="s">
        <v>594</v>
      </c>
    </row>
    <row r="28" spans="1:5" x14ac:dyDescent="0.15">
      <c r="A28" s="6" t="s">
        <v>382</v>
      </c>
      <c r="B28" s="6" t="s">
        <v>595</v>
      </c>
      <c r="C28" s="174">
        <f>'11_SOTP_valuation'!D7</f>
        <v>1275424.6861694176</v>
      </c>
      <c r="D28" s="111">
        <f>C28/$C$33</f>
        <v>0.47195848300737392</v>
      </c>
      <c r="E28" s="225">
        <v>0.46542990133258644</v>
      </c>
    </row>
    <row r="29" spans="1:5" x14ac:dyDescent="0.15">
      <c r="A29" s="6" t="s">
        <v>223</v>
      </c>
      <c r="B29" s="6" t="s">
        <v>595</v>
      </c>
      <c r="C29" s="174">
        <f>'11_SOTP_valuation'!D8</f>
        <v>657279.80659150786</v>
      </c>
      <c r="D29" s="111">
        <f t="shared" ref="D29:D33" si="0">C29/$C$33</f>
        <v>0.24321999079536588</v>
      </c>
      <c r="E29" s="225">
        <v>0.23362552498069056</v>
      </c>
    </row>
    <row r="30" spans="1:5" x14ac:dyDescent="0.15">
      <c r="A30" s="6" t="s">
        <v>185</v>
      </c>
      <c r="B30" s="6" t="s">
        <v>595</v>
      </c>
      <c r="C30" s="174">
        <f>'11_SOTP_valuation'!D6</f>
        <v>432421.42798155965</v>
      </c>
      <c r="D30" s="111">
        <f t="shared" si="0"/>
        <v>0.16001333781848268</v>
      </c>
      <c r="E30" s="225">
        <v>0.16907130011171212</v>
      </c>
    </row>
    <row r="31" spans="1:5" x14ac:dyDescent="0.15">
      <c r="A31" s="6" t="s">
        <v>384</v>
      </c>
      <c r="B31" s="6" t="s">
        <v>595</v>
      </c>
      <c r="C31" s="174">
        <f>'11_SOTP_valuation'!D10</f>
        <v>224172.36017489721</v>
      </c>
      <c r="D31" s="111">
        <f t="shared" si="0"/>
        <v>8.2952798536528774E-2</v>
      </c>
      <c r="E31" s="225">
        <v>8.7648552849922914E-2</v>
      </c>
    </row>
    <row r="32" spans="1:5" x14ac:dyDescent="0.15">
      <c r="A32" s="6" t="s">
        <v>383</v>
      </c>
      <c r="B32" s="6" t="s">
        <v>595</v>
      </c>
      <c r="C32" s="174">
        <f>'11_SOTP_valuation'!D9</f>
        <v>113110.36749224963</v>
      </c>
      <c r="D32" s="111">
        <f t="shared" si="0"/>
        <v>4.1855389842248729E-2</v>
      </c>
      <c r="E32" s="225">
        <v>4.4224720725087895E-2</v>
      </c>
    </row>
    <row r="33" spans="1:5" x14ac:dyDescent="0.15">
      <c r="A33" s="16" t="s">
        <v>596</v>
      </c>
      <c r="C33" s="227">
        <f>SUM(C28:C32)</f>
        <v>2702408.648409632</v>
      </c>
      <c r="D33" s="111">
        <f t="shared" si="0"/>
        <v>1</v>
      </c>
      <c r="E33" s="135"/>
    </row>
    <row r="34" spans="1:5" x14ac:dyDescent="0.15">
      <c r="A34" s="16"/>
      <c r="C34" s="226"/>
      <c r="D34" s="16"/>
      <c r="E34" s="135"/>
    </row>
    <row r="35" spans="1:5" x14ac:dyDescent="0.15">
      <c r="A35" s="6"/>
      <c r="B35" s="6"/>
      <c r="C35" s="6"/>
    </row>
    <row r="36" spans="1:5" ht="16" x14ac:dyDescent="0.15">
      <c r="A36" s="219" t="s">
        <v>513</v>
      </c>
      <c r="B36" s="219"/>
    </row>
    <row r="38" spans="1:5" x14ac:dyDescent="0.15">
      <c r="A38" s="90" t="s">
        <v>514</v>
      </c>
      <c r="B38" s="90"/>
      <c r="C38" s="90" t="s">
        <v>515</v>
      </c>
      <c r="D38" s="90" t="s">
        <v>516</v>
      </c>
      <c r="E38" s="90" t="s">
        <v>517</v>
      </c>
    </row>
    <row r="39" spans="1:5" x14ac:dyDescent="0.15">
      <c r="A39" s="18" t="s">
        <v>518</v>
      </c>
      <c r="B39" s="18"/>
      <c r="C39" s="18" t="s">
        <v>519</v>
      </c>
      <c r="D39" s="18" t="s">
        <v>520</v>
      </c>
      <c r="E39" s="18" t="s">
        <v>552</v>
      </c>
    </row>
    <row r="40" spans="1:5" x14ac:dyDescent="0.15">
      <c r="A40" s="18" t="s">
        <v>522</v>
      </c>
      <c r="B40" s="18"/>
      <c r="C40" s="18" t="s">
        <v>523</v>
      </c>
      <c r="D40" s="18" t="s">
        <v>520</v>
      </c>
      <c r="E40" s="18" t="s">
        <v>524</v>
      </c>
    </row>
    <row r="41" spans="1:5" x14ac:dyDescent="0.15">
      <c r="A41" s="18" t="s">
        <v>525</v>
      </c>
      <c r="B41" s="18"/>
      <c r="C41" s="18" t="s">
        <v>526</v>
      </c>
      <c r="D41" s="18" t="s">
        <v>520</v>
      </c>
      <c r="E41" s="18" t="s">
        <v>527</v>
      </c>
    </row>
    <row r="42" spans="1:5" x14ac:dyDescent="0.15">
      <c r="A42" s="18" t="s">
        <v>528</v>
      </c>
      <c r="B42" s="18"/>
      <c r="C42" s="18" t="s">
        <v>529</v>
      </c>
      <c r="D42" s="18" t="s">
        <v>520</v>
      </c>
      <c r="E42" s="18" t="s">
        <v>530</v>
      </c>
    </row>
    <row r="43" spans="1:5" x14ac:dyDescent="0.15">
      <c r="A43" s="18" t="s">
        <v>531</v>
      </c>
      <c r="B43" s="18"/>
      <c r="C43" s="18" t="s">
        <v>531</v>
      </c>
      <c r="D43" s="18" t="s">
        <v>520</v>
      </c>
      <c r="E43" s="18" t="s">
        <v>532</v>
      </c>
    </row>
    <row r="44" spans="1:5" ht="14" thickBot="1" x14ac:dyDescent="0.2">
      <c r="A44" s="205" t="s">
        <v>533</v>
      </c>
      <c r="B44" s="205"/>
      <c r="C44" s="205" t="s">
        <v>534</v>
      </c>
      <c r="D44" s="205" t="s">
        <v>520</v>
      </c>
      <c r="E44" s="205" t="s">
        <v>521</v>
      </c>
    </row>
    <row r="47" spans="1:5" ht="16" x14ac:dyDescent="0.15">
      <c r="A47" s="219" t="s">
        <v>638</v>
      </c>
    </row>
    <row r="49" spans="1:15" x14ac:dyDescent="0.15">
      <c r="A49" s="90" t="s">
        <v>580</v>
      </c>
      <c r="B49" s="90" t="s">
        <v>597</v>
      </c>
      <c r="C49" s="90" t="s">
        <v>598</v>
      </c>
      <c r="D49" s="90" t="s">
        <v>599</v>
      </c>
      <c r="E49" s="90" t="s">
        <v>600</v>
      </c>
      <c r="F49" s="90" t="s">
        <v>601</v>
      </c>
    </row>
    <row r="50" spans="1:15" x14ac:dyDescent="0.15">
      <c r="A50" s="18" t="s">
        <v>382</v>
      </c>
      <c r="B50" s="18" t="s">
        <v>522</v>
      </c>
      <c r="C50" s="18" t="s">
        <v>540</v>
      </c>
      <c r="D50" s="255">
        <f>J97</f>
        <v>9.636576563204363</v>
      </c>
      <c r="E50" s="163">
        <f>'08_Three_Statement_Projections'!C18</f>
        <v>85028.312411294508</v>
      </c>
      <c r="F50" s="258">
        <f>E50*D50</f>
        <v>819381.84259149933</v>
      </c>
    </row>
    <row r="51" spans="1:15" x14ac:dyDescent="0.15">
      <c r="A51" s="18" t="s">
        <v>223</v>
      </c>
      <c r="B51" s="18" t="s">
        <v>525</v>
      </c>
      <c r="C51" s="18" t="s">
        <v>540</v>
      </c>
      <c r="D51" s="255">
        <f>B69</f>
        <v>20.07</v>
      </c>
      <c r="E51" s="163">
        <f>'08_Three_Statement_Projections'!C19</f>
        <v>29876.354845068538</v>
      </c>
      <c r="F51" s="258">
        <f>E51*D51</f>
        <v>599618.44174052554</v>
      </c>
    </row>
    <row r="52" spans="1:15" x14ac:dyDescent="0.15">
      <c r="A52" s="18" t="s">
        <v>185</v>
      </c>
      <c r="B52" s="18" t="s">
        <v>528</v>
      </c>
      <c r="C52" s="18" t="s">
        <v>540</v>
      </c>
      <c r="D52" s="255">
        <f t="shared" ref="D52:D53" si="1">J99</f>
        <v>3.6460721010332953</v>
      </c>
      <c r="E52" s="163">
        <f>'08_Three_Statement_Projections'!C17</f>
        <v>66526.37353562456</v>
      </c>
      <c r="F52" s="258">
        <f t="shared" ref="F52:F53" si="2">E52*D52</f>
        <v>242559.95453116045</v>
      </c>
    </row>
    <row r="53" spans="1:15" ht="14" thickBot="1" x14ac:dyDescent="0.2">
      <c r="A53" s="115" t="s">
        <v>383</v>
      </c>
      <c r="B53" s="115" t="s">
        <v>531</v>
      </c>
      <c r="C53" s="115" t="s">
        <v>540</v>
      </c>
      <c r="D53" s="256">
        <f t="shared" si="1"/>
        <v>2.1260064278350512</v>
      </c>
      <c r="E53" s="257">
        <f>'08_Three_Statement_Projections'!C20</f>
        <v>20565.521362227206</v>
      </c>
      <c r="F53" s="254">
        <f t="shared" si="2"/>
        <v>43722.430607874099</v>
      </c>
    </row>
    <row r="54" spans="1:15" x14ac:dyDescent="0.15">
      <c r="A54" s="18"/>
      <c r="B54" s="18"/>
      <c r="C54" s="18"/>
      <c r="D54" s="18"/>
      <c r="E54" s="204"/>
      <c r="F54" s="204"/>
    </row>
    <row r="55" spans="1:15" x14ac:dyDescent="0.15">
      <c r="A55" s="18"/>
      <c r="B55" s="18"/>
      <c r="C55" s="18"/>
      <c r="D55" s="18"/>
      <c r="E55" s="204"/>
      <c r="F55" s="204"/>
    </row>
    <row r="56" spans="1:15" ht="16" x14ac:dyDescent="0.15">
      <c r="A56" s="219" t="s">
        <v>612</v>
      </c>
      <c r="B56" s="18"/>
      <c r="C56" s="18"/>
      <c r="D56" s="18"/>
      <c r="E56" s="204"/>
      <c r="F56" s="204"/>
    </row>
    <row r="57" spans="1:15" x14ac:dyDescent="0.15">
      <c r="A57" s="90" t="s">
        <v>431</v>
      </c>
      <c r="B57" s="90" t="s">
        <v>613</v>
      </c>
      <c r="C57" s="90" t="s">
        <v>614</v>
      </c>
      <c r="D57" s="90" t="s">
        <v>615</v>
      </c>
      <c r="E57" s="204"/>
      <c r="F57" s="273" t="s">
        <v>21</v>
      </c>
      <c r="G57" s="273"/>
      <c r="H57" s="273"/>
      <c r="I57" s="273"/>
      <c r="J57" s="273"/>
      <c r="K57" s="273"/>
      <c r="L57" s="273"/>
      <c r="M57" s="273"/>
      <c r="N57" s="273"/>
      <c r="O57" s="273"/>
    </row>
    <row r="58" spans="1:15" x14ac:dyDescent="0.15">
      <c r="A58" s="18" t="s">
        <v>616</v>
      </c>
      <c r="B58" s="173">
        <f>'08_Three_Statement_Projections'!D10/'08_Three_Statement_Projections'!C10-1</f>
        <v>0.12404571569941902</v>
      </c>
      <c r="C58" s="208">
        <v>0.22889999999999999</v>
      </c>
      <c r="D58" s="18" t="s">
        <v>617</v>
      </c>
      <c r="E58" s="204"/>
      <c r="F58" s="204"/>
    </row>
    <row r="59" spans="1:15" x14ac:dyDescent="0.15">
      <c r="A59" s="18" t="s">
        <v>433</v>
      </c>
      <c r="B59" s="173">
        <f>'08_Three_Statement_Projections'!C19/'08_Three_Statement_Projections'!C10</f>
        <v>8.0270473263765157E-2</v>
      </c>
      <c r="C59" s="208">
        <f>F98/E98</f>
        <v>7.6549210206561358E-2</v>
      </c>
      <c r="D59" s="18" t="s">
        <v>618</v>
      </c>
      <c r="E59" s="204"/>
      <c r="F59" s="6" t="s">
        <v>620</v>
      </c>
    </row>
    <row r="60" spans="1:15" ht="14" thickBot="1" x14ac:dyDescent="0.2">
      <c r="A60" s="115" t="s">
        <v>540</v>
      </c>
      <c r="B60" s="230">
        <v>20.07</v>
      </c>
      <c r="C60" s="230">
        <f>J98</f>
        <v>41.363239682539678</v>
      </c>
      <c r="D60" s="115" t="s">
        <v>619</v>
      </c>
      <c r="E60" s="204"/>
      <c r="F60" s="6" t="s">
        <v>621</v>
      </c>
    </row>
    <row r="61" spans="1:15" x14ac:dyDescent="0.15">
      <c r="A61" s="18"/>
      <c r="B61" s="18"/>
      <c r="C61" s="18"/>
      <c r="D61" s="18"/>
      <c r="E61" s="204"/>
      <c r="F61" s="204"/>
    </row>
    <row r="63" spans="1:15" ht="16" x14ac:dyDescent="0.15">
      <c r="A63" s="219" t="s">
        <v>602</v>
      </c>
    </row>
    <row r="65" spans="1:15" x14ac:dyDescent="0.15">
      <c r="A65" s="90" t="s">
        <v>603</v>
      </c>
      <c r="B65" s="90" t="s">
        <v>380</v>
      </c>
      <c r="C65" s="90" t="s">
        <v>604</v>
      </c>
      <c r="D65" s="90" t="s">
        <v>605</v>
      </c>
      <c r="F65" s="273" t="s">
        <v>21</v>
      </c>
      <c r="G65" s="273"/>
      <c r="H65" s="273"/>
      <c r="I65" s="273"/>
      <c r="J65" s="273"/>
      <c r="K65" s="273"/>
      <c r="L65" s="273"/>
      <c r="M65" s="273"/>
      <c r="N65" s="273"/>
      <c r="O65" s="273"/>
    </row>
    <row r="66" spans="1:15" x14ac:dyDescent="0.15">
      <c r="A66" s="18" t="s">
        <v>606</v>
      </c>
      <c r="B66" s="259">
        <f>J98</f>
        <v>41.363239682539678</v>
      </c>
      <c r="C66" s="214">
        <f>E51</f>
        <v>29876.354845068538</v>
      </c>
      <c r="D66" s="214">
        <f>C66*B66</f>
        <v>1235782.8262971756</v>
      </c>
      <c r="F66" s="6" t="s">
        <v>608</v>
      </c>
    </row>
    <row r="67" spans="1:15" x14ac:dyDescent="0.15">
      <c r="A67" s="18" t="s">
        <v>548</v>
      </c>
      <c r="B67" s="259">
        <f>C108</f>
        <v>9.0907389313681097</v>
      </c>
      <c r="C67" s="214">
        <f>E51</f>
        <v>29876.354845068538</v>
      </c>
      <c r="D67" s="214">
        <f t="shared" ref="D67:D69" si="3">C67*B67</f>
        <v>271598.14211743278</v>
      </c>
      <c r="F67" s="6" t="s">
        <v>609</v>
      </c>
    </row>
    <row r="68" spans="1:15" x14ac:dyDescent="0.15">
      <c r="A68" s="18" t="s">
        <v>556</v>
      </c>
      <c r="B68" s="259">
        <f>C110</f>
        <v>19.803090612787692</v>
      </c>
      <c r="C68" s="214">
        <f>E51</f>
        <v>29876.354845068538</v>
      </c>
      <c r="D68" s="214">
        <f t="shared" si="3"/>
        <v>591644.16217669088</v>
      </c>
      <c r="F68" t="s">
        <v>610</v>
      </c>
      <c r="G68" t="s">
        <v>611</v>
      </c>
    </row>
    <row r="69" spans="1:15" ht="14" thickBot="1" x14ac:dyDescent="0.2">
      <c r="A69" s="212" t="s">
        <v>607</v>
      </c>
      <c r="B69" s="230">
        <f>B60</f>
        <v>20.07</v>
      </c>
      <c r="C69" s="213">
        <f>E51</f>
        <v>29876.354845068538</v>
      </c>
      <c r="D69" s="213">
        <f t="shared" si="3"/>
        <v>599618.44174052554</v>
      </c>
      <c r="F69" s="6"/>
    </row>
    <row r="72" spans="1:15" ht="16" x14ac:dyDescent="0.15">
      <c r="A72" s="219" t="s">
        <v>622</v>
      </c>
      <c r="B72" s="18"/>
      <c r="C72" s="18"/>
      <c r="D72" s="18"/>
      <c r="E72" s="204"/>
      <c r="F72" s="204"/>
    </row>
    <row r="73" spans="1:15" x14ac:dyDescent="0.15">
      <c r="A73" s="90" t="s">
        <v>431</v>
      </c>
      <c r="B73" s="90" t="s">
        <v>623</v>
      </c>
      <c r="C73" s="90" t="s">
        <v>624</v>
      </c>
      <c r="D73" s="90" t="s">
        <v>615</v>
      </c>
      <c r="E73" s="204"/>
    </row>
    <row r="74" spans="1:15" x14ac:dyDescent="0.15">
      <c r="A74" s="18" t="s">
        <v>616</v>
      </c>
      <c r="B74" s="173">
        <f>'08_Three_Statement_Projections'!D9/'08_Three_Statement_Projections'!C9-1</f>
        <v>0.12578926826379688</v>
      </c>
      <c r="C74" s="208">
        <v>0.1452</v>
      </c>
      <c r="D74" s="18" t="s">
        <v>625</v>
      </c>
      <c r="E74" s="204"/>
      <c r="F74" s="204"/>
    </row>
    <row r="75" spans="1:15" x14ac:dyDescent="0.15">
      <c r="A75" s="18" t="s">
        <v>433</v>
      </c>
      <c r="B75" s="173">
        <f>-('08_Three_Statement_Projections'!C18/'08_Three_Statement_Projections'!C9-1)</f>
        <v>0.50340000000000007</v>
      </c>
      <c r="C75" s="208">
        <f>F97/E97</f>
        <v>0.60230705236189352</v>
      </c>
      <c r="D75" s="18" t="s">
        <v>625</v>
      </c>
      <c r="E75" s="204"/>
      <c r="F75" s="6"/>
    </row>
    <row r="76" spans="1:15" ht="14" thickBot="1" x14ac:dyDescent="0.2">
      <c r="A76" s="115" t="s">
        <v>540</v>
      </c>
      <c r="B76" s="230">
        <f>C76*0.97</f>
        <v>9.3474792663082322</v>
      </c>
      <c r="C76" s="230">
        <f>J97</f>
        <v>9.636576563204363</v>
      </c>
      <c r="D76" s="228" t="s">
        <v>664</v>
      </c>
      <c r="E76" s="204"/>
      <c r="F76" s="6"/>
    </row>
    <row r="77" spans="1:15" x14ac:dyDescent="0.15">
      <c r="A77" s="6"/>
      <c r="B77" s="231"/>
      <c r="C77" s="231"/>
      <c r="D77" s="6"/>
      <c r="E77" s="204"/>
      <c r="F77" s="6"/>
    </row>
    <row r="78" spans="1:15" x14ac:dyDescent="0.15">
      <c r="A78" s="6"/>
      <c r="B78" s="231"/>
      <c r="C78" s="231"/>
      <c r="D78" s="6"/>
      <c r="E78" s="204"/>
      <c r="F78" s="6"/>
    </row>
    <row r="79" spans="1:15" ht="16" x14ac:dyDescent="0.15">
      <c r="A79" s="219" t="s">
        <v>626</v>
      </c>
      <c r="B79" s="18"/>
      <c r="C79" s="18"/>
      <c r="D79" s="18"/>
      <c r="E79" s="204"/>
      <c r="F79" s="6"/>
    </row>
    <row r="80" spans="1:15" x14ac:dyDescent="0.15">
      <c r="A80" s="90" t="s">
        <v>431</v>
      </c>
      <c r="B80" s="90" t="s">
        <v>627</v>
      </c>
      <c r="C80" s="90" t="s">
        <v>628</v>
      </c>
      <c r="D80" s="90" t="s">
        <v>615</v>
      </c>
      <c r="E80" s="204"/>
      <c r="F80" s="6"/>
      <c r="G80" s="6"/>
      <c r="H80" s="6"/>
      <c r="I80" s="6"/>
      <c r="J80" s="6"/>
      <c r="K80" s="6"/>
      <c r="L80" s="6"/>
      <c r="M80" s="6"/>
      <c r="N80" s="6"/>
      <c r="O80" s="6"/>
    </row>
    <row r="81" spans="1:24" x14ac:dyDescent="0.15">
      <c r="A81" s="18" t="s">
        <v>616</v>
      </c>
      <c r="B81" s="173">
        <f>'08_Three_Statement_Projections'!D8/'08_Three_Statement_Projections'!C8-1</f>
        <v>3.5435396437771605E-2</v>
      </c>
      <c r="C81" s="208">
        <f>E99/901452.7-1</f>
        <v>2.883933899138591E-2</v>
      </c>
      <c r="D81" s="18" t="s">
        <v>629</v>
      </c>
      <c r="E81" s="204"/>
      <c r="F81" s="6"/>
    </row>
    <row r="82" spans="1:24" x14ac:dyDescent="0.15">
      <c r="A82" s="18" t="s">
        <v>433</v>
      </c>
      <c r="B82" s="173">
        <f>'08_Three_Statement_Projections'!C17/'08_Three_Statement_Projections'!C8</f>
        <v>9.6995115218580563E-2</v>
      </c>
      <c r="C82" s="208">
        <f>F99/E99</f>
        <v>9.3913418513127386E-2</v>
      </c>
      <c r="D82" s="18" t="s">
        <v>630</v>
      </c>
      <c r="E82" s="204"/>
      <c r="F82" s="6"/>
    </row>
    <row r="83" spans="1:24" ht="14" thickBot="1" x14ac:dyDescent="0.2">
      <c r="A83" s="115" t="s">
        <v>540</v>
      </c>
      <c r="B83" s="230">
        <v>6.5</v>
      </c>
      <c r="C83" s="230">
        <f>J99</f>
        <v>3.6460721010332953</v>
      </c>
      <c r="D83" s="228"/>
      <c r="E83" s="204"/>
      <c r="F83" s="6"/>
    </row>
    <row r="84" spans="1:24" x14ac:dyDescent="0.15">
      <c r="A84" s="6"/>
      <c r="B84" s="231"/>
      <c r="C84" s="231"/>
      <c r="D84" s="6"/>
      <c r="E84" s="204"/>
      <c r="F84" s="6"/>
    </row>
    <row r="85" spans="1:24" x14ac:dyDescent="0.15">
      <c r="A85" s="18"/>
      <c r="B85" s="18"/>
      <c r="C85" s="18"/>
      <c r="D85" s="18"/>
      <c r="E85" s="204"/>
      <c r="F85" s="204"/>
    </row>
    <row r="86" spans="1:24" ht="16" x14ac:dyDescent="0.15">
      <c r="A86" s="219" t="s">
        <v>631</v>
      </c>
      <c r="B86" s="18"/>
      <c r="C86" s="18"/>
      <c r="D86" s="18"/>
      <c r="E86" s="204"/>
      <c r="F86" s="204"/>
    </row>
    <row r="87" spans="1:24" x14ac:dyDescent="0.15">
      <c r="A87" s="90" t="s">
        <v>431</v>
      </c>
      <c r="B87" s="90" t="s">
        <v>632</v>
      </c>
      <c r="C87" s="90" t="s">
        <v>633</v>
      </c>
      <c r="D87" s="90" t="s">
        <v>615</v>
      </c>
      <c r="E87" s="204"/>
      <c r="F87" s="273" t="s">
        <v>21</v>
      </c>
      <c r="G87" s="273"/>
      <c r="H87" s="273"/>
      <c r="I87" s="273"/>
      <c r="J87" s="273"/>
      <c r="K87" s="273"/>
      <c r="L87" s="273"/>
      <c r="M87" s="273"/>
      <c r="N87" s="273"/>
      <c r="O87" s="273"/>
    </row>
    <row r="88" spans="1:24" x14ac:dyDescent="0.15">
      <c r="A88" s="18" t="s">
        <v>616</v>
      </c>
      <c r="B88" s="173">
        <f>'08_Three_Statement_Projections'!D11/'08_Three_Statement_Projections'!C11-1</f>
        <v>6.8962328743636503E-2</v>
      </c>
      <c r="C88" s="208">
        <v>0.2044</v>
      </c>
      <c r="D88" s="18" t="s">
        <v>634</v>
      </c>
      <c r="E88" s="204"/>
      <c r="F88" s="204"/>
    </row>
    <row r="89" spans="1:24" x14ac:dyDescent="0.15">
      <c r="A89" s="18" t="s">
        <v>433</v>
      </c>
      <c r="B89" s="173">
        <f>'08_Three_Statement_Projections'!C20/'08_Three_Statement_Projections'!C11</f>
        <v>0.80066758610570188</v>
      </c>
      <c r="C89" s="208">
        <f>F100/E100</f>
        <v>0.26758620689655171</v>
      </c>
      <c r="D89" s="18" t="s">
        <v>635</v>
      </c>
      <c r="E89" s="204"/>
      <c r="F89" s="6" t="s">
        <v>636</v>
      </c>
    </row>
    <row r="90" spans="1:24" ht="14" thickBot="1" x14ac:dyDescent="0.2">
      <c r="A90" s="115" t="s">
        <v>540</v>
      </c>
      <c r="B90" s="230">
        <v>5.5</v>
      </c>
      <c r="C90" s="230">
        <f>J100</f>
        <v>2.1260064278350512</v>
      </c>
      <c r="D90" s="228"/>
      <c r="E90" s="204"/>
      <c r="F90" s="6" t="s">
        <v>637</v>
      </c>
    </row>
    <row r="91" spans="1:24" x14ac:dyDescent="0.15">
      <c r="A91" s="18"/>
      <c r="B91" s="128"/>
      <c r="C91" s="128"/>
      <c r="D91" s="18"/>
      <c r="E91" s="204"/>
      <c r="F91" s="6"/>
    </row>
    <row r="92" spans="1:24" x14ac:dyDescent="0.15">
      <c r="A92" s="18"/>
      <c r="B92" s="18"/>
      <c r="C92" s="18"/>
      <c r="D92" s="18"/>
      <c r="E92" s="204"/>
      <c r="F92" s="204"/>
    </row>
    <row r="93" spans="1:24" ht="16" x14ac:dyDescent="0.15">
      <c r="A93" s="219" t="s">
        <v>551</v>
      </c>
      <c r="B93" s="219"/>
      <c r="E93" s="20"/>
    </row>
    <row r="95" spans="1:24" x14ac:dyDescent="0.15">
      <c r="A95" s="90" t="s">
        <v>535</v>
      </c>
      <c r="B95" s="66" t="s">
        <v>536</v>
      </c>
      <c r="C95" s="66" t="s">
        <v>537</v>
      </c>
      <c r="D95" s="66" t="s">
        <v>372</v>
      </c>
      <c r="E95" s="66" t="s">
        <v>553</v>
      </c>
      <c r="F95" s="66" t="s">
        <v>538</v>
      </c>
      <c r="G95" s="66" t="s">
        <v>539</v>
      </c>
      <c r="H95" s="66" t="s">
        <v>554</v>
      </c>
      <c r="I95" s="66" t="s">
        <v>660</v>
      </c>
      <c r="J95" s="66" t="s">
        <v>661</v>
      </c>
      <c r="K95" s="66" t="s">
        <v>662</v>
      </c>
      <c r="L95" s="66" t="s">
        <v>663</v>
      </c>
      <c r="O95" s="273" t="s">
        <v>21</v>
      </c>
      <c r="P95" s="273"/>
      <c r="Q95" s="273"/>
      <c r="R95" s="273"/>
      <c r="S95" s="273"/>
      <c r="T95" s="273"/>
      <c r="U95" s="273"/>
      <c r="V95" s="273"/>
      <c r="W95" s="273"/>
      <c r="X95" s="273"/>
    </row>
    <row r="96" spans="1:24" ht="13" customHeight="1" x14ac:dyDescent="0.15">
      <c r="A96" s="18" t="s">
        <v>518</v>
      </c>
      <c r="B96" s="227">
        <f>'13_Executive_Summary'!B9</f>
        <v>1310</v>
      </c>
      <c r="C96" s="261">
        <f>'15_DCF_Sensitivity_Analysis'!C25*B96</f>
        <v>1772757.5</v>
      </c>
      <c r="D96" s="261">
        <f>C96+'08_Three_Statement_Projections'!C79+'08_Three_Statement_Projections'!C88-'08_Three_Statement_Projections'!C62</f>
        <v>1965482.022924718</v>
      </c>
      <c r="E96" s="227">
        <f>'08_Three_Statement_Projections'!C14</f>
        <v>1267585.8993763067</v>
      </c>
      <c r="F96" s="227">
        <f>'08_Three_Statement_Projections'!C23</f>
        <v>230018.10717607697</v>
      </c>
      <c r="G96" s="261">
        <f>'14_Key_Metrics_Dashboard'!C9/'15_DCF_Sensitivity_Analysis'!C25</f>
        <v>72.692543581041917</v>
      </c>
      <c r="H96" s="261">
        <f>668.5+0.1*668.5</f>
        <v>735.35</v>
      </c>
      <c r="I96" s="264">
        <f>D96/E96</f>
        <v>1.550571068904915</v>
      </c>
      <c r="J96" s="264">
        <f>D96/F96</f>
        <v>8.5449012995318565</v>
      </c>
      <c r="K96" s="264">
        <f>B96/G96</f>
        <v>18.021105542132187</v>
      </c>
      <c r="L96" s="264">
        <f>B96/H96</f>
        <v>1.7814646086897394</v>
      </c>
      <c r="O96" s="274"/>
      <c r="P96" s="274"/>
      <c r="Q96" s="274"/>
      <c r="R96" s="274"/>
      <c r="S96" s="274"/>
      <c r="T96" s="274"/>
      <c r="U96" s="274"/>
      <c r="V96" s="274"/>
      <c r="W96" s="274"/>
      <c r="X96" s="274"/>
    </row>
    <row r="97" spans="1:24" ht="26" customHeight="1" x14ac:dyDescent="0.15">
      <c r="A97" s="18" t="s">
        <v>522</v>
      </c>
      <c r="B97" s="227">
        <v>1906.2</v>
      </c>
      <c r="C97" s="261">
        <f>B97*624.2</f>
        <v>1189850.04</v>
      </c>
      <c r="D97" s="261">
        <f>C97+212480</f>
        <v>1402330.04</v>
      </c>
      <c r="E97" s="227">
        <v>241607</v>
      </c>
      <c r="F97" s="227">
        <f>121268*1.2</f>
        <v>145521.60000000001</v>
      </c>
      <c r="G97" s="261">
        <f>45.99*1.2</f>
        <v>55.188000000000002</v>
      </c>
      <c r="H97" s="261">
        <f>282+0.1*282</f>
        <v>310.2</v>
      </c>
      <c r="I97" s="264">
        <f t="shared" ref="I97:I101" si="4">D97/E97</f>
        <v>5.8041780246433259</v>
      </c>
      <c r="J97" s="264">
        <f>D97/F97</f>
        <v>9.636576563204363</v>
      </c>
      <c r="K97" s="264">
        <f>B97/G97</f>
        <v>34.540117416829744</v>
      </c>
      <c r="L97" s="264">
        <f t="shared" ref="L97:L101" si="5">B97/H97</f>
        <v>6.1450676982591883</v>
      </c>
      <c r="O97" s="272" t="s">
        <v>578</v>
      </c>
      <c r="P97" s="272"/>
      <c r="Q97" s="272"/>
      <c r="R97" s="272"/>
      <c r="S97" s="272"/>
      <c r="T97" s="272"/>
      <c r="U97" s="272"/>
      <c r="V97" s="272"/>
      <c r="W97" s="272"/>
      <c r="X97" s="272"/>
    </row>
    <row r="98" spans="1:24" ht="29" customHeight="1" x14ac:dyDescent="0.15">
      <c r="A98" s="18" t="s">
        <v>525</v>
      </c>
      <c r="B98" s="227">
        <v>4045.5</v>
      </c>
      <c r="C98" s="261">
        <f>B98*65.02</f>
        <v>263038.40999999997</v>
      </c>
      <c r="D98" s="261">
        <f>C98-2450</f>
        <v>260588.40999999997</v>
      </c>
      <c r="E98" s="227">
        <v>82300</v>
      </c>
      <c r="F98" s="227">
        <v>6300</v>
      </c>
      <c r="G98" s="261">
        <f>45.62*1.2</f>
        <v>54.743999999999993</v>
      </c>
      <c r="H98" s="261">
        <f>375+0.1*375</f>
        <v>412.5</v>
      </c>
      <c r="I98" s="264">
        <f t="shared" si="4"/>
        <v>3.1663233292831103</v>
      </c>
      <c r="J98" s="264">
        <f>D98/F98</f>
        <v>41.363239682539678</v>
      </c>
      <c r="K98" s="264">
        <f t="shared" ref="K98:K101" si="6">B98/G98</f>
        <v>73.898509425690492</v>
      </c>
      <c r="L98" s="264">
        <f t="shared" si="5"/>
        <v>9.8072727272727267</v>
      </c>
      <c r="O98" s="272" t="s">
        <v>578</v>
      </c>
      <c r="P98" s="272"/>
      <c r="Q98" s="272"/>
      <c r="R98" s="272"/>
      <c r="S98" s="272"/>
      <c r="T98" s="272"/>
      <c r="U98" s="272"/>
      <c r="V98" s="272"/>
      <c r="W98" s="272"/>
      <c r="X98" s="272"/>
    </row>
    <row r="99" spans="1:24" ht="29" customHeight="1" x14ac:dyDescent="0.15">
      <c r="A99" s="18" t="s">
        <v>528</v>
      </c>
      <c r="B99" s="227">
        <v>140.5</v>
      </c>
      <c r="C99" s="261">
        <f>B99*1376.96</f>
        <v>193462.88</v>
      </c>
      <c r="D99" s="261">
        <f>C99+124110</f>
        <v>317572.88</v>
      </c>
      <c r="E99" s="227">
        <v>927450</v>
      </c>
      <c r="F99" s="227">
        <v>87100</v>
      </c>
      <c r="G99" s="261">
        <f>28.77*1.1</f>
        <v>31.647000000000002</v>
      </c>
      <c r="H99" s="261">
        <f>155.7+0.1*155.7</f>
        <v>171.26999999999998</v>
      </c>
      <c r="I99" s="264">
        <f t="shared" si="4"/>
        <v>0.34241509515337754</v>
      </c>
      <c r="J99" s="264">
        <f t="shared" ref="J99:J101" si="7">D99/F99</f>
        <v>3.6460721010332953</v>
      </c>
      <c r="K99" s="264">
        <f t="shared" si="6"/>
        <v>4.439599330110279</v>
      </c>
      <c r="L99" s="264">
        <f t="shared" si="5"/>
        <v>0.82034214982191866</v>
      </c>
      <c r="O99" s="272" t="s">
        <v>578</v>
      </c>
      <c r="P99" s="272"/>
      <c r="Q99" s="272"/>
      <c r="R99" s="272"/>
      <c r="S99" s="272"/>
      <c r="T99" s="272"/>
      <c r="U99" s="272"/>
      <c r="V99" s="272"/>
      <c r="W99" s="272"/>
      <c r="X99" s="272"/>
    </row>
    <row r="100" spans="1:24" ht="27" customHeight="1" x14ac:dyDescent="0.15">
      <c r="A100" s="18" t="s">
        <v>531</v>
      </c>
      <c r="B100" s="227">
        <v>240.09</v>
      </c>
      <c r="C100" s="261">
        <f>B100*1258.3</f>
        <v>302105.24699999997</v>
      </c>
      <c r="D100" s="261">
        <f>C100+110340</f>
        <v>412445.24699999997</v>
      </c>
      <c r="E100" s="227">
        <v>725000</v>
      </c>
      <c r="F100" s="227">
        <v>194000</v>
      </c>
      <c r="G100" s="261">
        <f>32.93*1.2</f>
        <v>39.515999999999998</v>
      </c>
      <c r="H100" s="261">
        <f>295.5+0.1*295.5</f>
        <v>325.05</v>
      </c>
      <c r="I100" s="264">
        <f t="shared" si="4"/>
        <v>0.5688899958620689</v>
      </c>
      <c r="J100" s="264">
        <f t="shared" si="7"/>
        <v>2.1260064278350512</v>
      </c>
      <c r="K100" s="264">
        <f t="shared" si="6"/>
        <v>6.0757667780139695</v>
      </c>
      <c r="L100" s="264">
        <f t="shared" si="5"/>
        <v>0.7386248269497</v>
      </c>
      <c r="O100" s="272" t="s">
        <v>578</v>
      </c>
      <c r="P100" s="272"/>
      <c r="Q100" s="272"/>
      <c r="R100" s="272"/>
      <c r="S100" s="272"/>
      <c r="T100" s="272"/>
      <c r="U100" s="272"/>
      <c r="V100" s="272"/>
      <c r="W100" s="272"/>
      <c r="X100" s="272"/>
    </row>
    <row r="101" spans="1:24" ht="26" customHeight="1" thickBot="1" x14ac:dyDescent="0.2">
      <c r="A101" s="205" t="s">
        <v>533</v>
      </c>
      <c r="B101" s="260">
        <v>2950.1</v>
      </c>
      <c r="C101" s="262">
        <f>B101*129.07</f>
        <v>380769.40699999995</v>
      </c>
      <c r="D101" s="262">
        <f>C101+48490</f>
        <v>429259.40699999995</v>
      </c>
      <c r="E101" s="260">
        <v>130136</v>
      </c>
      <c r="F101" s="263">
        <v>18509</v>
      </c>
      <c r="G101" s="262">
        <f>55.51*1.2</f>
        <v>66.611999999999995</v>
      </c>
      <c r="H101" s="262">
        <f>627+0.1*627</f>
        <v>689.7</v>
      </c>
      <c r="I101" s="265">
        <f t="shared" si="4"/>
        <v>3.2985446532857927</v>
      </c>
      <c r="J101" s="265">
        <f t="shared" si="7"/>
        <v>23.191928629315466</v>
      </c>
      <c r="K101" s="265">
        <f t="shared" si="6"/>
        <v>44.287816009127489</v>
      </c>
      <c r="L101" s="265">
        <f t="shared" si="5"/>
        <v>4.2773669711468747</v>
      </c>
      <c r="O101" s="272" t="s">
        <v>578</v>
      </c>
      <c r="P101" s="272"/>
      <c r="Q101" s="272"/>
      <c r="R101" s="272"/>
      <c r="S101" s="272"/>
      <c r="T101" s="272"/>
      <c r="U101" s="272"/>
      <c r="V101" s="272"/>
      <c r="W101" s="272"/>
      <c r="X101" s="272"/>
    </row>
    <row r="104" spans="1:24" ht="16" x14ac:dyDescent="0.15">
      <c r="A104" s="219" t="s">
        <v>547</v>
      </c>
      <c r="B104" s="219"/>
    </row>
    <row r="106" spans="1:24" x14ac:dyDescent="0.15">
      <c r="A106" s="90" t="s">
        <v>431</v>
      </c>
      <c r="B106" s="66" t="s">
        <v>575</v>
      </c>
      <c r="C106" s="66" t="s">
        <v>540</v>
      </c>
      <c r="D106" s="66" t="s">
        <v>541</v>
      </c>
      <c r="E106" s="66" t="s">
        <v>542</v>
      </c>
    </row>
    <row r="107" spans="1:24" x14ac:dyDescent="0.15">
      <c r="A107" s="18" t="s">
        <v>543</v>
      </c>
      <c r="B107" s="166">
        <f>AVERAGE(I96:I101)</f>
        <v>2.4551536945220986</v>
      </c>
      <c r="C107" s="166">
        <f>AVERAGE(J96:J101)</f>
        <v>14.751454117243286</v>
      </c>
      <c r="D107" s="166">
        <f>AVERAGE(K96:K101)</f>
        <v>30.210485750317357</v>
      </c>
      <c r="E107" s="166">
        <f>AVERAGE(L96:L101)</f>
        <v>3.928356497023358</v>
      </c>
      <c r="F107" s="128"/>
    </row>
    <row r="108" spans="1:24" ht="12" customHeight="1" x14ac:dyDescent="0.15">
      <c r="A108" s="18" t="s">
        <v>544</v>
      </c>
      <c r="B108" s="166">
        <f>MEDIAN(I96:I101)</f>
        <v>2.3584471990940128</v>
      </c>
      <c r="C108" s="166">
        <f>MEDIAN(J96:J101)</f>
        <v>9.0907389313681097</v>
      </c>
      <c r="D108" s="166">
        <f>MEDIAN(K96:K101)</f>
        <v>26.280611479480967</v>
      </c>
      <c r="E108" s="166">
        <f>MEDIAN(L96:L101)</f>
        <v>3.029415789918307</v>
      </c>
    </row>
    <row r="109" spans="1:24" x14ac:dyDescent="0.15">
      <c r="A109" s="18" t="s">
        <v>555</v>
      </c>
      <c r="B109" s="166">
        <f>_xlfn.PERCENTILE.INC(I96:I101,25%)</f>
        <v>0.8143102641227804</v>
      </c>
      <c r="C109" s="166">
        <f>_xlfn.PERCENTILE.INC(J96:J101,25%)</f>
        <v>4.8707794006579359</v>
      </c>
      <c r="D109" s="166">
        <f>_xlfn.PERCENTILE.INC(K96:K101,25%)</f>
        <v>9.0621014690435242</v>
      </c>
      <c r="E109" s="166">
        <f>_xlfn.PERCENTILE.INC(L96:L101,25%)</f>
        <v>1.0606227645388739</v>
      </c>
      <c r="I109" s="223"/>
    </row>
    <row r="110" spans="1:24" x14ac:dyDescent="0.15">
      <c r="A110" s="18" t="s">
        <v>556</v>
      </c>
      <c r="B110" s="166">
        <f>_xlfn.PERCENTILE.INC(I96:I101,75%)</f>
        <v>3.2654893222851222</v>
      </c>
      <c r="C110" s="166">
        <f>_xlfn.PERCENTILE.INC(J96:J101,75%)</f>
        <v>19.803090612787692</v>
      </c>
      <c r="D110" s="166">
        <f>_xlfn.PERCENTILE.INC(K96:K101,75%)</f>
        <v>41.850891361053051</v>
      </c>
      <c r="E110" s="166">
        <f>_xlfn.PERCENTILE.INC(L96:L101,75%)</f>
        <v>5.6781425164811097</v>
      </c>
    </row>
    <row r="111" spans="1:24" x14ac:dyDescent="0.15">
      <c r="A111" s="18" t="s">
        <v>545</v>
      </c>
      <c r="B111" s="166">
        <f>MIN(I96:I101)</f>
        <v>0.34241509515337754</v>
      </c>
      <c r="C111" s="166">
        <f>MIN(J96:J101)</f>
        <v>2.1260064278350512</v>
      </c>
      <c r="D111" s="166">
        <f>MIN(K96:K101)</f>
        <v>4.439599330110279</v>
      </c>
      <c r="E111" s="166">
        <f>MIN(L96:L101)</f>
        <v>0.7386248269497</v>
      </c>
    </row>
    <row r="112" spans="1:24" x14ac:dyDescent="0.15">
      <c r="A112" s="18" t="s">
        <v>546</v>
      </c>
      <c r="B112" s="166">
        <f>MAX((I96:I101))</f>
        <v>5.8041780246433259</v>
      </c>
      <c r="C112" s="166">
        <f>MAX((J96:J101))</f>
        <v>41.363239682539678</v>
      </c>
      <c r="D112" s="166">
        <f>MAX((K96:K101))</f>
        <v>73.898509425690492</v>
      </c>
      <c r="E112" s="166">
        <f>MAX((L96:L101))</f>
        <v>9.8072727272727267</v>
      </c>
    </row>
    <row r="113" spans="1:7" ht="14" thickBot="1" x14ac:dyDescent="0.2">
      <c r="A113" s="205" t="s">
        <v>557</v>
      </c>
      <c r="B113" s="167">
        <f>STDEV(I96:I101)</f>
        <v>2.0626662056274627</v>
      </c>
      <c r="C113" s="167">
        <f>STDEV(J96:J101)</f>
        <v>15.012284638375691</v>
      </c>
      <c r="D113" s="167">
        <f>STDEV(K96:K101)</f>
        <v>26.535879811523923</v>
      </c>
      <c r="E113" s="167">
        <f>STDEV(L96:L101)</f>
        <v>3.5788422427565969</v>
      </c>
    </row>
    <row r="117" spans="1:7" ht="16" x14ac:dyDescent="0.15">
      <c r="A117" s="219" t="s">
        <v>550</v>
      </c>
      <c r="B117" s="219"/>
    </row>
    <row r="119" spans="1:7" ht="14" x14ac:dyDescent="0.15">
      <c r="A119" s="90" t="s">
        <v>431</v>
      </c>
      <c r="B119" s="90"/>
      <c r="C119" s="66" t="s">
        <v>558</v>
      </c>
      <c r="D119" s="90" t="s">
        <v>548</v>
      </c>
      <c r="E119" s="98" t="s">
        <v>549</v>
      </c>
      <c r="F119" s="90" t="s">
        <v>639</v>
      </c>
      <c r="G119" s="90" t="s">
        <v>640</v>
      </c>
    </row>
    <row r="120" spans="1:7" x14ac:dyDescent="0.15">
      <c r="A120" s="18" t="s">
        <v>575</v>
      </c>
      <c r="B120" s="18"/>
      <c r="C120" s="255">
        <f>I96</f>
        <v>1.550571068904915</v>
      </c>
      <c r="D120" s="255">
        <f>B108</f>
        <v>2.3584471990940128</v>
      </c>
      <c r="E120" s="208">
        <f>C120/D120-1</f>
        <v>-0.34254577778948792</v>
      </c>
      <c r="F120" s="258">
        <f>D120*E96+'15_DCF_Sensitivity_Analysis'!C21-'15_DCF_Sensitivity_Analysis'!C22</f>
        <v>2796809.8910703976</v>
      </c>
      <c r="G120" s="258">
        <f>F120/'15_DCF_Sensitivity_Analysis'!C25</f>
        <v>2066.7355559360039</v>
      </c>
    </row>
    <row r="121" spans="1:7" x14ac:dyDescent="0.15">
      <c r="A121" s="18" t="s">
        <v>540</v>
      </c>
      <c r="B121" s="18"/>
      <c r="C121" s="255">
        <f>J96</f>
        <v>8.5449012995318565</v>
      </c>
      <c r="D121" s="255">
        <f>C108</f>
        <v>9.0907389313681097</v>
      </c>
      <c r="E121" s="208">
        <f>C121/D121-1</f>
        <v>-6.0043263364742527E-2</v>
      </c>
      <c r="F121" s="258">
        <f>D121*F96+'15_DCF_Sensitivity_Analysis'!C21-'15_DCF_Sensitivity_Analysis'!C22</f>
        <v>1898310.0389004478</v>
      </c>
      <c r="G121" s="258">
        <f>F121/'15_DCF_Sensitivity_Analysis'!C25</f>
        <v>1402.7785249587644</v>
      </c>
    </row>
    <row r="122" spans="1:7" x14ac:dyDescent="0.15">
      <c r="A122" s="18" t="s">
        <v>541</v>
      </c>
      <c r="B122" s="18"/>
      <c r="C122" s="255">
        <f>K96</f>
        <v>18.021105542132187</v>
      </c>
      <c r="D122" s="255">
        <f>D108</f>
        <v>26.280611479480967</v>
      </c>
      <c r="E122" s="208">
        <f>C122/D122-1</f>
        <v>-0.31428134553861242</v>
      </c>
      <c r="F122" s="233" t="s">
        <v>146</v>
      </c>
      <c r="G122" s="258">
        <f>D122*G96</f>
        <v>1910.4044953086006</v>
      </c>
    </row>
    <row r="123" spans="1:7" ht="14" thickBot="1" x14ac:dyDescent="0.2">
      <c r="A123" s="205" t="s">
        <v>542</v>
      </c>
      <c r="B123" s="205"/>
      <c r="C123" s="266">
        <f>L96</f>
        <v>1.7814646086897394</v>
      </c>
      <c r="D123" s="266">
        <f>E108</f>
        <v>3.029415789918307</v>
      </c>
      <c r="E123" s="251">
        <f>C123/D123-1</f>
        <v>-0.41194450275913441</v>
      </c>
      <c r="F123" s="234" t="s">
        <v>146</v>
      </c>
      <c r="G123" s="267">
        <f>D123*H96</f>
        <v>2227.6809011164269</v>
      </c>
    </row>
    <row r="126" spans="1:7" ht="16" x14ac:dyDescent="0.15">
      <c r="A126" s="219" t="s">
        <v>560</v>
      </c>
      <c r="B126" s="219"/>
    </row>
    <row r="127" spans="1:7" x14ac:dyDescent="0.15">
      <c r="A127" s="90" t="s">
        <v>603</v>
      </c>
      <c r="B127" s="90" t="s">
        <v>641</v>
      </c>
      <c r="C127" s="66" t="s">
        <v>640</v>
      </c>
      <c r="D127" s="90" t="s">
        <v>644</v>
      </c>
    </row>
    <row r="128" spans="1:7" x14ac:dyDescent="0.15">
      <c r="A128" s="18" t="s">
        <v>643</v>
      </c>
      <c r="B128" s="268">
        <v>0.13</v>
      </c>
      <c r="C128" s="227">
        <f>G120</f>
        <v>2066.7355559360039</v>
      </c>
      <c r="D128" s="261">
        <f>C128*B128</f>
        <v>268.67562227168054</v>
      </c>
    </row>
    <row r="129" spans="1:4" x14ac:dyDescent="0.15">
      <c r="A129" s="18" t="s">
        <v>642</v>
      </c>
      <c r="B129" s="268">
        <v>0.45</v>
      </c>
      <c r="C129" s="227">
        <f t="shared" ref="C129:C131" si="8">G121</f>
        <v>1402.7785249587644</v>
      </c>
      <c r="D129" s="261">
        <f t="shared" ref="D129:D131" si="9">C129*B129</f>
        <v>631.25033623144395</v>
      </c>
    </row>
    <row r="130" spans="1:4" x14ac:dyDescent="0.15">
      <c r="A130" s="18" t="s">
        <v>561</v>
      </c>
      <c r="B130" s="268">
        <v>0.35</v>
      </c>
      <c r="C130" s="227">
        <f t="shared" si="8"/>
        <v>1910.4044953086006</v>
      </c>
      <c r="D130" s="261">
        <f t="shared" si="9"/>
        <v>668.64157335801019</v>
      </c>
    </row>
    <row r="131" spans="1:4" x14ac:dyDescent="0.15">
      <c r="A131" s="18" t="s">
        <v>562</v>
      </c>
      <c r="B131" s="268">
        <v>7.0000000000000007E-2</v>
      </c>
      <c r="C131" s="227">
        <f t="shared" si="8"/>
        <v>2227.6809011164269</v>
      </c>
      <c r="D131" s="261">
        <f t="shared" si="9"/>
        <v>155.93766307814988</v>
      </c>
    </row>
    <row r="132" spans="1:4" ht="6" customHeight="1" thickBot="1" x14ac:dyDescent="0.2">
      <c r="A132" s="232"/>
      <c r="B132" s="232"/>
      <c r="C132" s="232"/>
    </row>
    <row r="133" spans="1:4" ht="17" thickBot="1" x14ac:dyDescent="0.2">
      <c r="A133" s="220" t="s">
        <v>559</v>
      </c>
      <c r="B133" s="236"/>
      <c r="C133" s="237"/>
      <c r="D133" s="235">
        <f>SUM(D128:D131)</f>
        <v>1724.5051949392846</v>
      </c>
    </row>
    <row r="136" spans="1:4" ht="16" x14ac:dyDescent="0.15">
      <c r="A136" s="219" t="s">
        <v>665</v>
      </c>
    </row>
    <row r="137" spans="1:4" x14ac:dyDescent="0.15">
      <c r="A137" s="90" t="s">
        <v>431</v>
      </c>
      <c r="B137" s="90" t="s">
        <v>645</v>
      </c>
    </row>
    <row r="138" spans="1:4" x14ac:dyDescent="0.15">
      <c r="A138" s="18" t="str">
        <f>'13_Executive_Summary'!A9</f>
        <v>Current NSE Market Price (As of Aug 12, 2026)</v>
      </c>
      <c r="B138" s="238">
        <f>'13_Executive_Summary'!B9</f>
        <v>1310</v>
      </c>
    </row>
    <row r="139" spans="1:4" x14ac:dyDescent="0.15">
      <c r="A139" s="72" t="s">
        <v>559</v>
      </c>
      <c r="B139" s="239">
        <f>D133</f>
        <v>1724.5051949392846</v>
      </c>
    </row>
    <row r="140" spans="1:4" x14ac:dyDescent="0.15">
      <c r="A140" s="18" t="s">
        <v>430</v>
      </c>
      <c r="B140" s="208">
        <f>B139/B138-1</f>
        <v>0.3164161793429654</v>
      </c>
    </row>
    <row r="141" spans="1:4" x14ac:dyDescent="0.15">
      <c r="A141" s="18" t="s">
        <v>646</v>
      </c>
      <c r="B141" s="204">
        <f>MAX(G120:G123)</f>
        <v>2227.6809011164269</v>
      </c>
    </row>
    <row r="142" spans="1:4" x14ac:dyDescent="0.15">
      <c r="A142" s="18" t="s">
        <v>647</v>
      </c>
      <c r="B142" s="204">
        <f>MIN(G120:G123)</f>
        <v>1402.7785249587644</v>
      </c>
    </row>
    <row r="143" spans="1:4" x14ac:dyDescent="0.15">
      <c r="A143" s="18" t="s">
        <v>648</v>
      </c>
      <c r="B143" s="204">
        <f>B141-B142</f>
        <v>824.9023761576625</v>
      </c>
    </row>
    <row r="144" spans="1:4" ht="14" thickBot="1" x14ac:dyDescent="0.2">
      <c r="A144" s="115" t="s">
        <v>649</v>
      </c>
      <c r="B144" s="229">
        <f>_xlfn.STDEV.S(D128:D131)</f>
        <v>257.28203949569348</v>
      </c>
    </row>
    <row r="145" spans="1:2" x14ac:dyDescent="0.15">
      <c r="B145" s="20"/>
    </row>
    <row r="147" spans="1:2" ht="16" x14ac:dyDescent="0.15">
      <c r="A147" s="219" t="s">
        <v>650</v>
      </c>
    </row>
    <row r="148" spans="1:2" x14ac:dyDescent="0.15">
      <c r="A148" s="90" t="s">
        <v>564</v>
      </c>
      <c r="B148" s="90" t="s">
        <v>651</v>
      </c>
    </row>
    <row r="149" spans="1:2" x14ac:dyDescent="0.15">
      <c r="A149" s="18" t="s">
        <v>652</v>
      </c>
      <c r="B149" s="163">
        <f>B76*E50</f>
        <v>794800.3873137543</v>
      </c>
    </row>
    <row r="150" spans="1:2" x14ac:dyDescent="0.15">
      <c r="A150" s="18" t="s">
        <v>653</v>
      </c>
      <c r="B150" s="163">
        <f>B69*E51</f>
        <v>599618.44174052554</v>
      </c>
    </row>
    <row r="151" spans="1:2" x14ac:dyDescent="0.15">
      <c r="A151" s="18" t="s">
        <v>654</v>
      </c>
      <c r="B151" s="163">
        <f>B83*E52</f>
        <v>432421.42798155965</v>
      </c>
    </row>
    <row r="152" spans="1:2" x14ac:dyDescent="0.15">
      <c r="A152" s="18" t="s">
        <v>655</v>
      </c>
      <c r="B152" s="163">
        <f>B90*E53</f>
        <v>113110.36749224963</v>
      </c>
    </row>
    <row r="153" spans="1:2" x14ac:dyDescent="0.15">
      <c r="A153" s="18" t="s">
        <v>656</v>
      </c>
      <c r="B153" s="163">
        <f>'16_Relative_Valuation'!C108*'11_SOTP_valuation'!B10</f>
        <v>254736.55024732652</v>
      </c>
    </row>
    <row r="154" spans="1:2" x14ac:dyDescent="0.15">
      <c r="A154" s="72" t="s">
        <v>657</v>
      </c>
      <c r="B154" s="214">
        <f>SUM(B149:B153)</f>
        <v>2194687.1747754156</v>
      </c>
    </row>
    <row r="155" spans="1:2" x14ac:dyDescent="0.15">
      <c r="A155" s="18" t="str">
        <f>'11_SOTP_valuation'!A17</f>
        <v>(+) Cash &amp; Cash Equivalents</v>
      </c>
      <c r="B155" s="163">
        <f>'11_SOTP_valuation'!B17</f>
        <v>155350.17014989501</v>
      </c>
    </row>
    <row r="156" spans="1:2" x14ac:dyDescent="0.15">
      <c r="A156" s="18" t="str">
        <f>'11_SOTP_valuation'!A18</f>
        <v>(-) Total Debt</v>
      </c>
      <c r="B156" s="163">
        <f>'11_SOTP_valuation'!B18</f>
        <v>-348074.6930746127</v>
      </c>
    </row>
    <row r="157" spans="1:2" x14ac:dyDescent="0.15">
      <c r="A157" s="18" t="str">
        <f>'11_SOTP_valuation'!A19</f>
        <v>(-) Non-Controlling Interest</v>
      </c>
      <c r="B157" s="163">
        <f>-(B149*0.33+B150*0.15)</f>
        <v>-352226.89407461777</v>
      </c>
    </row>
    <row r="158" spans="1:2" x14ac:dyDescent="0.15">
      <c r="A158" s="72" t="s">
        <v>639</v>
      </c>
      <c r="B158" s="214">
        <f>SUM(B154:B157)</f>
        <v>1649735.7577760802</v>
      </c>
    </row>
    <row r="159" spans="1:2" x14ac:dyDescent="0.15">
      <c r="A159" s="18" t="s">
        <v>658</v>
      </c>
      <c r="B159" s="94">
        <f>'11_SOTP_valuation'!B21</f>
        <v>1353.25</v>
      </c>
    </row>
    <row r="160" spans="1:2" ht="14" thickBot="1" x14ac:dyDescent="0.2">
      <c r="A160" s="212" t="s">
        <v>659</v>
      </c>
      <c r="B160" s="213">
        <f>B158/B159</f>
        <v>1219.0916370043083</v>
      </c>
    </row>
    <row r="163" spans="1:2" ht="16" x14ac:dyDescent="0.15">
      <c r="A163" s="219" t="s">
        <v>672</v>
      </c>
    </row>
    <row r="164" spans="1:2" x14ac:dyDescent="0.15">
      <c r="A164" s="90" t="s">
        <v>564</v>
      </c>
      <c r="B164" s="90" t="s">
        <v>645</v>
      </c>
    </row>
    <row r="165" spans="1:2" x14ac:dyDescent="0.15">
      <c r="A165" s="18" t="s">
        <v>577</v>
      </c>
      <c r="B165" s="240" t="str">
        <f>B6</f>
        <v>12th August 2026</v>
      </c>
    </row>
    <row r="166" spans="1:2" x14ac:dyDescent="0.15">
      <c r="A166" s="18" t="s">
        <v>188</v>
      </c>
      <c r="B166" s="27" t="s">
        <v>666</v>
      </c>
    </row>
    <row r="167" spans="1:2" x14ac:dyDescent="0.15">
      <c r="A167" s="18" t="s">
        <v>670</v>
      </c>
      <c r="B167" s="59">
        <f>'07_Forecast_assumptions'!C7</f>
        <v>10.5</v>
      </c>
    </row>
    <row r="168" spans="1:2" x14ac:dyDescent="0.15">
      <c r="A168" s="18" t="s">
        <v>671</v>
      </c>
      <c r="B168" s="59">
        <f>'07_Forecast_assumptions'!C11</f>
        <v>5</v>
      </c>
    </row>
    <row r="169" spans="1:2" x14ac:dyDescent="0.15">
      <c r="A169" s="18" t="s">
        <v>667</v>
      </c>
      <c r="B169" s="27" t="s">
        <v>668</v>
      </c>
    </row>
    <row r="170" spans="1:2" x14ac:dyDescent="0.15">
      <c r="A170" s="18" t="s">
        <v>372</v>
      </c>
      <c r="B170" s="163">
        <f>'10_DCF_Valuation'!C28</f>
        <v>2194655.6913591977</v>
      </c>
    </row>
    <row r="171" spans="1:2" x14ac:dyDescent="0.15">
      <c r="A171" s="18" t="s">
        <v>373</v>
      </c>
      <c r="B171" s="163">
        <f>B155</f>
        <v>155350.17014989501</v>
      </c>
    </row>
    <row r="172" spans="1:2" x14ac:dyDescent="0.15">
      <c r="A172" s="18" t="s">
        <v>374</v>
      </c>
      <c r="B172" s="163">
        <f t="shared" ref="B172" si="10">B156</f>
        <v>-348074.6930746127</v>
      </c>
    </row>
    <row r="173" spans="1:2" x14ac:dyDescent="0.15">
      <c r="A173" s="18" t="s">
        <v>375</v>
      </c>
      <c r="B173" s="163">
        <f>B157</f>
        <v>-352226.89407461777</v>
      </c>
    </row>
    <row r="174" spans="1:2" x14ac:dyDescent="0.15">
      <c r="A174" s="18" t="s">
        <v>639</v>
      </c>
      <c r="B174" s="214">
        <f>SUM(B170:B173)</f>
        <v>1649704.2743598623</v>
      </c>
    </row>
    <row r="175" spans="1:2" x14ac:dyDescent="0.15">
      <c r="A175" s="18" t="s">
        <v>658</v>
      </c>
      <c r="B175" s="94">
        <f>B159</f>
        <v>1353.25</v>
      </c>
    </row>
    <row r="176" spans="1:2" ht="14" thickBot="1" x14ac:dyDescent="0.2">
      <c r="A176" s="212" t="s">
        <v>669</v>
      </c>
      <c r="B176" s="213">
        <f>B174/B175</f>
        <v>1219.0683719636891</v>
      </c>
    </row>
    <row r="179" spans="1:5" ht="16" x14ac:dyDescent="0.15">
      <c r="A179" s="219" t="s">
        <v>673</v>
      </c>
    </row>
    <row r="180" spans="1:5" x14ac:dyDescent="0.15">
      <c r="A180" s="90" t="s">
        <v>184</v>
      </c>
      <c r="B180" s="241" t="s">
        <v>674</v>
      </c>
      <c r="C180" s="66" t="s">
        <v>675</v>
      </c>
      <c r="D180" s="90" t="s">
        <v>676</v>
      </c>
      <c r="E180" s="90" t="s">
        <v>679</v>
      </c>
    </row>
    <row r="181" spans="1:5" x14ac:dyDescent="0.15">
      <c r="A181" s="6" t="s">
        <v>382</v>
      </c>
      <c r="B181" s="163">
        <f>'08_Three_Statement_Projections'!G18</f>
        <v>130435.56252699869</v>
      </c>
      <c r="C181" s="128">
        <f>B76</f>
        <v>9.3474792663082322</v>
      </c>
      <c r="D181" s="258">
        <f>B181*C181</f>
        <v>1219243.7163103712</v>
      </c>
      <c r="E181" s="258">
        <f>D181/(1+$B$167/100)^5</f>
        <v>740080.79746008222</v>
      </c>
    </row>
    <row r="182" spans="1:5" x14ac:dyDescent="0.15">
      <c r="A182" s="6" t="s">
        <v>677</v>
      </c>
      <c r="B182" s="163">
        <f>'08_Three_Statement_Projections'!G19</f>
        <v>56448.754528384859</v>
      </c>
      <c r="C182" s="128">
        <f>B69</f>
        <v>20.07</v>
      </c>
      <c r="D182" s="258">
        <f t="shared" ref="D182:D185" si="11">B182*C182</f>
        <v>1132926.5033846842</v>
      </c>
      <c r="E182" s="258">
        <f t="shared" ref="E182:E185" si="12">D182/(1+$B$167/100)^5</f>
        <v>687686.25900808955</v>
      </c>
    </row>
    <row r="183" spans="1:5" x14ac:dyDescent="0.15">
      <c r="A183" s="6" t="s">
        <v>215</v>
      </c>
      <c r="B183" s="163">
        <f>'08_Three_Statement_Projections'!G17</f>
        <v>76469.082448678993</v>
      </c>
      <c r="C183" s="128">
        <f>B83</f>
        <v>6.5</v>
      </c>
      <c r="D183" s="258">
        <f t="shared" si="11"/>
        <v>497049.03591641347</v>
      </c>
      <c r="E183" s="258">
        <f t="shared" si="12"/>
        <v>301708.7084040732</v>
      </c>
    </row>
    <row r="184" spans="1:5" x14ac:dyDescent="0.15">
      <c r="A184" s="6" t="s">
        <v>383</v>
      </c>
      <c r="B184" s="163">
        <f>'08_Three_Statement_Projections'!G20</f>
        <v>25093.965574689148</v>
      </c>
      <c r="C184" s="128">
        <f>B90</f>
        <v>5.5</v>
      </c>
      <c r="D184" s="258">
        <f t="shared" si="11"/>
        <v>138016.8106607903</v>
      </c>
      <c r="E184" s="258">
        <f t="shared" si="12"/>
        <v>83776.188411155323</v>
      </c>
    </row>
    <row r="185" spans="1:5" ht="14" thickBot="1" x14ac:dyDescent="0.2">
      <c r="A185" s="228" t="s">
        <v>678</v>
      </c>
      <c r="B185" s="257">
        <f>'08_Three_Statement_Projections'!G21</f>
        <v>46259.00082208508</v>
      </c>
      <c r="C185" s="224">
        <f>C108</f>
        <v>9.0907389313681097</v>
      </c>
      <c r="D185" s="254">
        <f t="shared" si="11"/>
        <v>420528.4996995182</v>
      </c>
      <c r="E185" s="254">
        <f t="shared" si="12"/>
        <v>255260.75160274663</v>
      </c>
    </row>
    <row r="187" spans="1:5" x14ac:dyDescent="0.15">
      <c r="A187" s="16" t="s">
        <v>680</v>
      </c>
      <c r="B187" s="227">
        <f>SUM(E181:E185)+SUM('09_Free_Cash_Flow_Schedule FCFF'!B15:F15)</f>
        <v>2513075.7384354309</v>
      </c>
    </row>
    <row r="188" spans="1:5" x14ac:dyDescent="0.15">
      <c r="A188" s="18" t="s">
        <v>373</v>
      </c>
      <c r="B188" s="163">
        <f>B171</f>
        <v>155350.17014989501</v>
      </c>
    </row>
    <row r="189" spans="1:5" x14ac:dyDescent="0.15">
      <c r="A189" s="18" t="s">
        <v>374</v>
      </c>
      <c r="B189" s="163">
        <f>B172</f>
        <v>-348074.6930746127</v>
      </c>
    </row>
    <row r="190" spans="1:5" x14ac:dyDescent="0.15">
      <c r="A190" s="18" t="s">
        <v>375</v>
      </c>
      <c r="B190" s="163">
        <f>B173</f>
        <v>-352226.89407461777</v>
      </c>
    </row>
    <row r="191" spans="1:5" x14ac:dyDescent="0.15">
      <c r="A191" s="18" t="s">
        <v>639</v>
      </c>
      <c r="B191" s="214">
        <f>SUM(B187:B190)</f>
        <v>1968124.3214360951</v>
      </c>
    </row>
    <row r="192" spans="1:5" x14ac:dyDescent="0.15">
      <c r="A192" s="18" t="s">
        <v>658</v>
      </c>
      <c r="B192" s="94">
        <f>B175</f>
        <v>1353.25</v>
      </c>
    </row>
    <row r="193" spans="1:5" ht="14" thickBot="1" x14ac:dyDescent="0.2">
      <c r="A193" s="212" t="s">
        <v>669</v>
      </c>
      <c r="B193" s="213">
        <f>B191/B192</f>
        <v>1454.3686099657086</v>
      </c>
    </row>
    <row r="196" spans="1:5" ht="16" x14ac:dyDescent="0.15">
      <c r="A196" s="219" t="s">
        <v>681</v>
      </c>
    </row>
    <row r="197" spans="1:5" x14ac:dyDescent="0.15">
      <c r="A197" s="90" t="s">
        <v>682</v>
      </c>
      <c r="B197" s="241" t="s">
        <v>183</v>
      </c>
      <c r="C197" s="66" t="s">
        <v>684</v>
      </c>
      <c r="D197" s="90" t="s">
        <v>685</v>
      </c>
      <c r="E197" s="90" t="s">
        <v>683</v>
      </c>
    </row>
    <row r="198" spans="1:5" ht="58" customHeight="1" x14ac:dyDescent="0.15">
      <c r="A198" s="18" t="s">
        <v>686</v>
      </c>
      <c r="B198" s="221" t="s">
        <v>687</v>
      </c>
      <c r="C198" s="221" t="s">
        <v>688</v>
      </c>
      <c r="D198" s="221" t="s">
        <v>700</v>
      </c>
      <c r="E198" s="269">
        <f>B139</f>
        <v>1724.5051949392846</v>
      </c>
    </row>
    <row r="199" spans="1:5" ht="35" customHeight="1" x14ac:dyDescent="0.15">
      <c r="A199" s="18" t="s">
        <v>689</v>
      </c>
      <c r="B199" s="221" t="s">
        <v>690</v>
      </c>
      <c r="C199" s="221" t="s">
        <v>691</v>
      </c>
      <c r="D199" s="221" t="s">
        <v>698</v>
      </c>
      <c r="E199" s="269">
        <f>B160</f>
        <v>1219.0916370043083</v>
      </c>
    </row>
    <row r="200" spans="1:5" ht="54" customHeight="1" x14ac:dyDescent="0.15">
      <c r="A200" s="18" t="s">
        <v>692</v>
      </c>
      <c r="B200" s="221" t="s">
        <v>693</v>
      </c>
      <c r="C200" s="221" t="s">
        <v>701</v>
      </c>
      <c r="D200" s="221" t="s">
        <v>699</v>
      </c>
      <c r="E200" s="269">
        <f>B176</f>
        <v>1219.0683719636891</v>
      </c>
    </row>
    <row r="201" spans="1:5" ht="43" thickBot="1" x14ac:dyDescent="0.2">
      <c r="A201" s="228" t="s">
        <v>694</v>
      </c>
      <c r="B201" s="222" t="s">
        <v>695</v>
      </c>
      <c r="C201" s="222" t="s">
        <v>696</v>
      </c>
      <c r="D201" s="222" t="s">
        <v>697</v>
      </c>
      <c r="E201" s="270">
        <f>B193</f>
        <v>1454.3686099657086</v>
      </c>
    </row>
    <row r="204" spans="1:5" ht="16" x14ac:dyDescent="0.15">
      <c r="A204" s="219" t="s">
        <v>702</v>
      </c>
    </row>
    <row r="205" spans="1:5" x14ac:dyDescent="0.15">
      <c r="A205" s="16" t="s">
        <v>703</v>
      </c>
      <c r="B205" s="16" t="s">
        <v>640</v>
      </c>
      <c r="C205" s="16" t="s">
        <v>641</v>
      </c>
      <c r="D205" s="16" t="s">
        <v>704</v>
      </c>
    </row>
    <row r="206" spans="1:5" x14ac:dyDescent="0.15">
      <c r="A206" s="18" t="s">
        <v>705</v>
      </c>
      <c r="B206" s="238">
        <v>1740.65</v>
      </c>
      <c r="C206" s="243">
        <v>0.1</v>
      </c>
      <c r="D206" s="238">
        <f>Table1[[#This Row],[Target Price]]*Table1[[#This Row],[Weight]]</f>
        <v>174.06500000000003</v>
      </c>
    </row>
    <row r="207" spans="1:5" x14ac:dyDescent="0.15">
      <c r="A207" s="18" t="s">
        <v>706</v>
      </c>
      <c r="B207" s="238">
        <v>1222.55</v>
      </c>
      <c r="C207" s="243">
        <v>0.3</v>
      </c>
      <c r="D207" s="238">
        <f>Table1[[#This Row],[Target Price]]*Table1[[#This Row],[Weight]]</f>
        <v>366.76499999999999</v>
      </c>
    </row>
    <row r="208" spans="1:5" x14ac:dyDescent="0.15">
      <c r="A208" s="18" t="s">
        <v>707</v>
      </c>
      <c r="B208" s="238">
        <v>1218.1600000000001</v>
      </c>
      <c r="C208" s="243">
        <v>0.2</v>
      </c>
      <c r="D208" s="238">
        <f>Table1[[#This Row],[Target Price]]*Table1[[#This Row],[Weight]]</f>
        <v>243.63200000000003</v>
      </c>
    </row>
    <row r="209" spans="1:4" x14ac:dyDescent="0.15">
      <c r="A209" s="18" t="s">
        <v>708</v>
      </c>
      <c r="B209" s="238">
        <v>1457.65</v>
      </c>
      <c r="C209" s="243">
        <v>0.4</v>
      </c>
      <c r="D209" s="238">
        <f>Table1[[#This Row],[Target Price]]*Table1[[#This Row],[Weight]]</f>
        <v>583.06000000000006</v>
      </c>
    </row>
    <row r="210" spans="1:4" x14ac:dyDescent="0.15">
      <c r="A210" s="72" t="s">
        <v>709</v>
      </c>
      <c r="B210" s="72"/>
      <c r="C210" s="244">
        <f>SUM(Table1[Weight])</f>
        <v>1</v>
      </c>
      <c r="D210" s="239">
        <f>SUM(Table1[Weighted Value])</f>
        <v>1367.5220000000002</v>
      </c>
    </row>
    <row r="213" spans="1:4" ht="16" x14ac:dyDescent="0.15">
      <c r="A213" s="219" t="s">
        <v>710</v>
      </c>
    </row>
    <row r="214" spans="1:4" x14ac:dyDescent="0.15">
      <c r="A214" s="90" t="s">
        <v>431</v>
      </c>
      <c r="B214" s="241" t="s">
        <v>645</v>
      </c>
      <c r="C214" s="66" t="s">
        <v>711</v>
      </c>
    </row>
    <row r="215" spans="1:4" x14ac:dyDescent="0.15">
      <c r="A215" s="18" t="s">
        <v>712</v>
      </c>
      <c r="B215" s="246">
        <f>'13_Executive_Summary'!B9</f>
        <v>1310</v>
      </c>
      <c r="C215" s="18" t="s">
        <v>721</v>
      </c>
    </row>
    <row r="216" spans="1:4" x14ac:dyDescent="0.15">
      <c r="A216" s="18" t="s">
        <v>709</v>
      </c>
      <c r="B216" s="238">
        <f>D210</f>
        <v>1367.5220000000002</v>
      </c>
      <c r="C216" s="18" t="s">
        <v>720</v>
      </c>
    </row>
    <row r="217" spans="1:4" x14ac:dyDescent="0.15">
      <c r="A217" s="18" t="s">
        <v>713</v>
      </c>
      <c r="B217" s="238">
        <f>B208</f>
        <v>1218.1600000000001</v>
      </c>
      <c r="C217" s="18" t="s">
        <v>718</v>
      </c>
    </row>
    <row r="218" spans="1:4" x14ac:dyDescent="0.15">
      <c r="A218" s="18" t="s">
        <v>714</v>
      </c>
      <c r="B218" s="238">
        <f>B216</f>
        <v>1367.5220000000002</v>
      </c>
      <c r="C218" s="18" t="s">
        <v>717</v>
      </c>
    </row>
    <row r="219" spans="1:4" x14ac:dyDescent="0.15">
      <c r="A219" s="18" t="s">
        <v>715</v>
      </c>
      <c r="B219" s="238">
        <f>B206</f>
        <v>1740.65</v>
      </c>
      <c r="C219" s="18" t="s">
        <v>716</v>
      </c>
    </row>
    <row r="220" spans="1:4" x14ac:dyDescent="0.15">
      <c r="A220" s="18" t="s">
        <v>430</v>
      </c>
      <c r="B220" s="23">
        <f>B216/B215-1</f>
        <v>4.3909923664122275E-2</v>
      </c>
      <c r="C220" s="18" t="s">
        <v>719</v>
      </c>
    </row>
    <row r="221" spans="1:4" ht="14" thickBot="1" x14ac:dyDescent="0.2">
      <c r="A221" s="212" t="s">
        <v>394</v>
      </c>
      <c r="B221" s="271" t="str">
        <f>IF(VALUE(B220)&gt;0.25, "STRONG BUY", IF(VALUE(B220)&gt;0.15, "BUY", IF(VALUE(B220)&gt;0, "HOLD", "SELL")))</f>
        <v>HOLD</v>
      </c>
      <c r="C221" s="115"/>
    </row>
  </sheetData>
  <mergeCells count="10">
    <mergeCell ref="O101:X101"/>
    <mergeCell ref="F65:O65"/>
    <mergeCell ref="F57:O57"/>
    <mergeCell ref="F87:O87"/>
    <mergeCell ref="O95:X95"/>
    <mergeCell ref="O96:X96"/>
    <mergeCell ref="O97:X97"/>
    <mergeCell ref="O98:X98"/>
    <mergeCell ref="O100:X100"/>
    <mergeCell ref="O99:X99"/>
  </mergeCells>
  <pageMargins left="0.7" right="0.7" top="0.75" bottom="0.75" header="0.3" footer="0.3"/>
  <pageSetup paperSize="9" orientation="portrait" horizontalDpi="0" verticalDpi="0"/>
  <ignoredErrors>
    <ignoredError sqref="C68 B174 B191 D51" formula="1"/>
  </ignoredErrors>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64B6-E9E3-1E46-B291-49F5D1A9E9A7}">
  <dimension ref="B1:E29"/>
  <sheetViews>
    <sheetView showGridLines="0" tabSelected="1" zoomScale="111" workbookViewId="0">
      <selection activeCell="F16" sqref="F16"/>
    </sheetView>
  </sheetViews>
  <sheetFormatPr baseColWidth="10" defaultRowHeight="13" x14ac:dyDescent="0.15"/>
  <cols>
    <col min="1" max="1" width="2.5" customWidth="1"/>
    <col min="2" max="2" width="17" customWidth="1"/>
    <col min="3" max="3" width="22.83203125" customWidth="1"/>
    <col min="5" max="5" width="41.5" customWidth="1"/>
  </cols>
  <sheetData>
    <row r="1" spans="2:3" ht="17" x14ac:dyDescent="0.15">
      <c r="B1" s="281" t="s">
        <v>724</v>
      </c>
    </row>
    <row r="3" spans="2:3" x14ac:dyDescent="0.15">
      <c r="B3" s="16" t="s">
        <v>725</v>
      </c>
    </row>
    <row r="4" spans="2:3" x14ac:dyDescent="0.15">
      <c r="B4" s="90" t="s">
        <v>726</v>
      </c>
      <c r="C4" s="90" t="s">
        <v>727</v>
      </c>
    </row>
    <row r="5" spans="2:3" x14ac:dyDescent="0.15">
      <c r="B5" s="282" t="s">
        <v>730</v>
      </c>
      <c r="C5" s="283">
        <f>'12_Scenario_Analysis_Dashboard'!D12</f>
        <v>952.16799999999989</v>
      </c>
    </row>
    <row r="6" spans="2:3" x14ac:dyDescent="0.15">
      <c r="B6" s="282" t="s">
        <v>729</v>
      </c>
      <c r="C6" s="283">
        <f>'12_Scenario_Analysis_Dashboard'!C12</f>
        <v>1386.7160000000001</v>
      </c>
    </row>
    <row r="7" spans="2:3" x14ac:dyDescent="0.15">
      <c r="B7" s="282" t="s">
        <v>728</v>
      </c>
      <c r="C7" s="283">
        <f>'12_Scenario_Analysis_Dashboard'!B12</f>
        <v>1854.6820000000002</v>
      </c>
    </row>
    <row r="8" spans="2:3" x14ac:dyDescent="0.15">
      <c r="B8" s="282" t="s">
        <v>731</v>
      </c>
      <c r="C8" s="283">
        <f>'12_Scenario_Analysis_Dashboard'!B13</f>
        <v>1310</v>
      </c>
    </row>
    <row r="9" spans="2:3" ht="14" thickBot="1" x14ac:dyDescent="0.2">
      <c r="B9" s="212" t="s">
        <v>736</v>
      </c>
      <c r="C9" s="251">
        <f>C6/C8-1</f>
        <v>5.8561832061068797E-2</v>
      </c>
    </row>
    <row r="12" spans="2:3" x14ac:dyDescent="0.15">
      <c r="B12" s="16" t="s">
        <v>738</v>
      </c>
    </row>
    <row r="13" spans="2:3" x14ac:dyDescent="0.15">
      <c r="B13" s="90" t="s">
        <v>726</v>
      </c>
      <c r="C13" s="90" t="s">
        <v>727</v>
      </c>
    </row>
    <row r="14" spans="2:3" x14ac:dyDescent="0.15">
      <c r="B14" s="18" t="s">
        <v>732</v>
      </c>
      <c r="C14" s="238">
        <f>'16_Relative_Valuation'!E198</f>
        <v>1724.5051949392846</v>
      </c>
    </row>
    <row r="15" spans="2:3" x14ac:dyDescent="0.15">
      <c r="B15" s="18" t="s">
        <v>733</v>
      </c>
      <c r="C15" s="238">
        <f>'16_Relative_Valuation'!E199</f>
        <v>1219.0916370043083</v>
      </c>
    </row>
    <row r="16" spans="2:3" x14ac:dyDescent="0.15">
      <c r="B16" s="18" t="s">
        <v>734</v>
      </c>
      <c r="C16" s="238">
        <f>'16_Relative_Valuation'!E200</f>
        <v>1219.0683719636891</v>
      </c>
    </row>
    <row r="17" spans="2:5" x14ac:dyDescent="0.15">
      <c r="B17" s="282" t="s">
        <v>735</v>
      </c>
      <c r="C17" s="286">
        <f>'16_Relative_Valuation'!E201</f>
        <v>1454.3686099657086</v>
      </c>
    </row>
    <row r="18" spans="2:5" ht="4" customHeight="1" x14ac:dyDescent="0.15"/>
    <row r="19" spans="2:5" x14ac:dyDescent="0.15">
      <c r="B19" s="284" t="s">
        <v>545</v>
      </c>
      <c r="C19" s="238">
        <f>MIN(C14:C17)</f>
        <v>1219.0683719636891</v>
      </c>
    </row>
    <row r="20" spans="2:5" x14ac:dyDescent="0.15">
      <c r="B20" s="287" t="s">
        <v>737</v>
      </c>
      <c r="C20" s="239">
        <f>MEDIAN(C14:C17)</f>
        <v>1336.7301234850083</v>
      </c>
    </row>
    <row r="21" spans="2:5" ht="14" thickBot="1" x14ac:dyDescent="0.2">
      <c r="B21" s="288" t="s">
        <v>546</v>
      </c>
      <c r="C21" s="285">
        <f>MAX(C14:C17)</f>
        <v>1724.5051949392846</v>
      </c>
    </row>
    <row r="24" spans="2:5" x14ac:dyDescent="0.15">
      <c r="B24" s="16" t="s">
        <v>739</v>
      </c>
    </row>
    <row r="25" spans="2:5" x14ac:dyDescent="0.15">
      <c r="B25" s="90" t="s">
        <v>184</v>
      </c>
      <c r="C25" s="90" t="s">
        <v>740</v>
      </c>
      <c r="D25" s="90" t="s">
        <v>741</v>
      </c>
      <c r="E25" s="90" t="s">
        <v>579</v>
      </c>
    </row>
    <row r="26" spans="2:5" x14ac:dyDescent="0.15">
      <c r="B26" s="6" t="s">
        <v>742</v>
      </c>
      <c r="C26" s="6" t="s">
        <v>743</v>
      </c>
      <c r="D26" s="6" t="s">
        <v>744</v>
      </c>
      <c r="E26" s="6" t="s">
        <v>745</v>
      </c>
    </row>
    <row r="27" spans="2:5" x14ac:dyDescent="0.15">
      <c r="B27" s="6" t="s">
        <v>527</v>
      </c>
      <c r="C27" s="6" t="s">
        <v>746</v>
      </c>
      <c r="D27" s="6" t="s">
        <v>747</v>
      </c>
      <c r="E27" s="6" t="s">
        <v>748</v>
      </c>
    </row>
    <row r="28" spans="2:5" x14ac:dyDescent="0.15">
      <c r="B28" s="6" t="s">
        <v>185</v>
      </c>
      <c r="C28" s="6" t="s">
        <v>749</v>
      </c>
      <c r="D28" s="6" t="s">
        <v>750</v>
      </c>
      <c r="E28" s="6" t="s">
        <v>751</v>
      </c>
    </row>
    <row r="29" spans="2:5" x14ac:dyDescent="0.15">
      <c r="B29" s="6" t="s">
        <v>532</v>
      </c>
      <c r="C29" s="6" t="s">
        <v>752</v>
      </c>
      <c r="D29" s="6" t="s">
        <v>753</v>
      </c>
      <c r="E29" s="6"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Cover</vt:lpstr>
      <vt:lpstr>01_Overview</vt:lpstr>
      <vt:lpstr>02_Consolidated_Historical_Data</vt:lpstr>
      <vt:lpstr>03_Consolidated_Balance_Sheet_</vt:lpstr>
      <vt:lpstr>04_Consolidated_Cash_Flow</vt:lpstr>
      <vt:lpstr>05_Segment_Historical_Raw_Data</vt:lpstr>
      <vt:lpstr>06_Calculated_Ratios</vt:lpstr>
      <vt:lpstr>07_Forecast_assumptions</vt:lpstr>
      <vt:lpstr>08_Three_Statement_Projections</vt:lpstr>
      <vt:lpstr>08A_Balance_Sheet_Support_Sched</vt:lpstr>
      <vt:lpstr>09_Free_Cash_Flow_Schedule FCFF</vt:lpstr>
      <vt:lpstr>10_DCF_Valuation</vt:lpstr>
      <vt:lpstr>11_SOTP_valuation</vt:lpstr>
      <vt:lpstr>12_Scenario_Analysis_Dashboard</vt:lpstr>
      <vt:lpstr>13_Executive_Summary</vt:lpstr>
      <vt:lpstr>14_Key_Metrics_Dashboard</vt:lpstr>
      <vt:lpstr>15_DCF_Sensitivity_Analysis</vt:lpstr>
      <vt:lpstr>16_Relative_Valuation</vt:lpstr>
      <vt:lpstr>17_Final_Valuation_Dashboard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NewPC</dc:creator>
  <cp:lastModifiedBy>SINGH Raman</cp:lastModifiedBy>
  <dcterms:created xsi:type="dcterms:W3CDTF">2017-12-26T16:16:22Z</dcterms:created>
  <dcterms:modified xsi:type="dcterms:W3CDTF">2026-08-12T14:54:59Z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9ddfd792-6523-4e72-b799-7ce7d130e454</vt:lpwstr>
  </property>
</Properties>
</file>